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48087fecbb8190/Área de Trabalho/1-HVAC/8-ATIVIDADES ESTÁGIO/VITOR/"/>
    </mc:Choice>
  </mc:AlternateContent>
  <xr:revisionPtr revIDLastSave="663" documentId="8_{43DFD6D5-E5A0-48E2-9982-324E02F522DC}" xr6:coauthVersionLast="47" xr6:coauthVersionMax="47" xr10:uidLastSave="{0D54BF44-BFCA-4F30-99F9-C26ACFE7BF93}"/>
  <bookViews>
    <workbookView xWindow="-108" yWindow="-108" windowWidth="23256" windowHeight="12456" activeTab="3" xr2:uid="{4FA21CD5-0635-4EE8-B7F9-5A1E76D3CDF0}"/>
  </bookViews>
  <sheets>
    <sheet name="CARGA ESTIMADA 1" sheetId="1" r:id="rId1"/>
    <sheet name="FD" sheetId="2" r:id="rId2"/>
    <sheet name="AUX-CARGA ESTIMADA" sheetId="3" r:id="rId3"/>
    <sheet name="PROG1" sheetId="5" r:id="rId4"/>
    <sheet name="PROG2" sheetId="6" r:id="rId5"/>
    <sheet name="PROG3" sheetId="7" r:id="rId6"/>
    <sheet name="PROG4" sheetId="8" r:id="rId7"/>
    <sheet name="PROG5" sheetId="9" r:id="rId8"/>
    <sheet name="PROG6" sheetId="10" r:id="rId9"/>
    <sheet name="PROG7" sheetId="11" r:id="rId10"/>
    <sheet name="PROG8" sheetId="12" r:id="rId11"/>
    <sheet name="PROG9" sheetId="13" r:id="rId12"/>
  </sheets>
  <externalReferences>
    <externalReference r:id="rId13"/>
    <externalReference r:id="rId14"/>
  </externalReferences>
  <definedNames>
    <definedName name="_xlnm.Print_Area" localSheetId="0">'CARGA ESTIMADA 1'!$A$1:$C$124</definedName>
    <definedName name="Categoria">[1]Auxiliar!$K$2:$S$2</definedName>
    <definedName name="Categoria_Ambiente">[1]Auxiliar!$K$2:$S$12</definedName>
    <definedName name="Tipos_Ambiente" localSheetId="2">OFFSET(Categoria_Ambiente,1,MATCH('[1]Carga Térmica'!XFD1,Categoria,0)-1,INDEX([1]Auxiliar!$K$14:$S$14,1,MATCH('[1]Carga Térmica'!XFD1,Categoria,0)),1)</definedName>
    <definedName name="Tipos_Ambiente" localSheetId="1">OFFSET(Categoria_Ambiente,1,MATCH('[1]Carga Térmica'!XFD1,Categoria,0)-1,INDEX([1]Auxiliar!$K$14:$S$14,1,MATCH('[1]Carga Térmica'!XFD1,Categoria,0)),1)</definedName>
    <definedName name="Tipos_Ambiente">OFFSET(Categoria_Ambiente,1,MATCH('[1]Carga Térmica'!XFD1,Categoria,0)-1,INDEX([1]Auxiliar!$K$14:$S$14,1,MATCH('[1]Carga Térmica'!XFD1,Categoria,0)),1)</definedName>
    <definedName name="Tipos_Ambiente2" localSheetId="2">OFFSET(Categoria_Ambiente,1,MATCH('[1]Carga Térmica'!XFD1,Categoria,0)-1,INDEX([1]Auxiliar!$K$14:$S$14,1,MATCH('[1]Carga Térmica'!XFD1,Categoria,0)),1)</definedName>
    <definedName name="Tipos_Ambiente2" localSheetId="1">OFFSET(Categoria_Ambiente,1,MATCH('[1]Carga Térmica'!XFD1,Categoria,0)-1,INDEX([1]Auxiliar!$K$14:$S$14,1,MATCH('[1]Carga Térmica'!XFD1,Categoria,0)),1)</definedName>
    <definedName name="Tipos_Ambiente2">OFFSET(Categoria_Ambiente,1,MATCH('[1]Carga Térmica'!XFD1,Categoria,0)-1,INDEX([1]Auxiliar!$K$14:$S$14,1,MATCH('[1]Carga Térmica'!XFD1,Categoria,0)),1)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62" i="1"/>
  <c r="B61" i="1"/>
  <c r="C61" i="1" s="1"/>
  <c r="N27" i="2"/>
  <c r="Q27" i="2" s="1"/>
  <c r="L27" i="2"/>
  <c r="K27" i="2"/>
  <c r="N26" i="2"/>
  <c r="Q26" i="2" s="1"/>
  <c r="L26" i="2"/>
  <c r="K26" i="2"/>
  <c r="N25" i="2"/>
  <c r="Q25" i="2" s="1"/>
  <c r="L25" i="2"/>
  <c r="K25" i="2"/>
  <c r="Q24" i="2"/>
  <c r="S24" i="2" s="1"/>
  <c r="T24" i="2" s="1"/>
  <c r="N24" i="2"/>
  <c r="L24" i="2"/>
  <c r="K24" i="2"/>
  <c r="I24" i="2"/>
  <c r="H24" i="2"/>
  <c r="G24" i="2"/>
  <c r="F24" i="2"/>
  <c r="E24" i="2"/>
  <c r="D24" i="2"/>
  <c r="A24" i="2"/>
  <c r="N23" i="2"/>
  <c r="Q23" i="2" s="1"/>
  <c r="L23" i="2"/>
  <c r="K23" i="2"/>
  <c r="I23" i="2"/>
  <c r="H23" i="2"/>
  <c r="G23" i="2"/>
  <c r="F23" i="2"/>
  <c r="E23" i="2"/>
  <c r="D23" i="2"/>
  <c r="A23" i="2"/>
  <c r="Q22" i="2"/>
  <c r="R22" i="2" s="1"/>
  <c r="N22" i="2"/>
  <c r="L22" i="2"/>
  <c r="K22" i="2"/>
  <c r="I22" i="2"/>
  <c r="H22" i="2"/>
  <c r="G22" i="2"/>
  <c r="F22" i="2"/>
  <c r="E22" i="2"/>
  <c r="D22" i="2"/>
  <c r="A22" i="2"/>
  <c r="N21" i="2"/>
  <c r="Q21" i="2" s="1"/>
  <c r="L21" i="2"/>
  <c r="K21" i="2"/>
  <c r="I21" i="2"/>
  <c r="H21" i="2"/>
  <c r="G21" i="2"/>
  <c r="F21" i="2"/>
  <c r="E21" i="2"/>
  <c r="D21" i="2"/>
  <c r="A21" i="2"/>
  <c r="Q20" i="2"/>
  <c r="S20" i="2" s="1"/>
  <c r="T20" i="2" s="1"/>
  <c r="N20" i="2"/>
  <c r="L20" i="2"/>
  <c r="K20" i="2"/>
  <c r="I20" i="2"/>
  <c r="H20" i="2"/>
  <c r="G20" i="2"/>
  <c r="F20" i="2"/>
  <c r="E20" i="2"/>
  <c r="D20" i="2"/>
  <c r="A20" i="2"/>
  <c r="N19" i="2"/>
  <c r="Q19" i="2" s="1"/>
  <c r="L19" i="2"/>
  <c r="K19" i="2"/>
  <c r="I19" i="2"/>
  <c r="H19" i="2"/>
  <c r="G19" i="2"/>
  <c r="F19" i="2"/>
  <c r="E19" i="2"/>
  <c r="D19" i="2"/>
  <c r="A19" i="2"/>
  <c r="Q18" i="2"/>
  <c r="S18" i="2" s="1"/>
  <c r="T18" i="2" s="1"/>
  <c r="N18" i="2"/>
  <c r="L18" i="2"/>
  <c r="K18" i="2"/>
  <c r="I18" i="2"/>
  <c r="H18" i="2"/>
  <c r="G18" i="2"/>
  <c r="F18" i="2"/>
  <c r="E18" i="2"/>
  <c r="D18" i="2"/>
  <c r="A18" i="2"/>
  <c r="N17" i="2"/>
  <c r="Q17" i="2" s="1"/>
  <c r="K17" i="2"/>
  <c r="I17" i="2"/>
  <c r="H17" i="2"/>
  <c r="F17" i="2"/>
  <c r="E17" i="2"/>
  <c r="D17" i="2"/>
  <c r="A17" i="2"/>
  <c r="L11" i="2"/>
  <c r="K11" i="2"/>
  <c r="J11" i="2"/>
  <c r="I11" i="2"/>
  <c r="H11" i="2"/>
  <c r="G11" i="2"/>
  <c r="L8" i="2"/>
  <c r="D5" i="2"/>
  <c r="C134" i="1"/>
  <c r="K130" i="1"/>
  <c r="K131" i="1" s="1"/>
  <c r="K129" i="1"/>
  <c r="C127" i="1"/>
  <c r="G109" i="1"/>
  <c r="C110" i="1" s="1"/>
  <c r="E95" i="1"/>
  <c r="G95" i="1" s="1"/>
  <c r="C96" i="1" s="1"/>
  <c r="C119" i="1" s="1"/>
  <c r="D90" i="1"/>
  <c r="F90" i="1" s="1"/>
  <c r="C91" i="1" s="1"/>
  <c r="C118" i="1" s="1"/>
  <c r="C85" i="1"/>
  <c r="F85" i="1" s="1"/>
  <c r="C86" i="1" s="1"/>
  <c r="C117" i="1" s="1"/>
  <c r="C79" i="1"/>
  <c r="F79" i="1" s="1"/>
  <c r="C80" i="1" s="1"/>
  <c r="C116" i="1" s="1"/>
  <c r="B73" i="1"/>
  <c r="C73" i="1" s="1"/>
  <c r="B72" i="1"/>
  <c r="C72" i="1" s="1"/>
  <c r="B71" i="1"/>
  <c r="C71" i="1" s="1"/>
  <c r="B70" i="1"/>
  <c r="C70" i="1" s="1"/>
  <c r="B63" i="1"/>
  <c r="C63" i="1" s="1"/>
  <c r="C60" i="1"/>
  <c r="B40" i="1"/>
  <c r="B39" i="1"/>
  <c r="B38" i="1"/>
  <c r="D60" i="1" s="1"/>
  <c r="B37" i="1"/>
  <c r="D73" i="1" s="1"/>
  <c r="B10" i="1"/>
  <c r="B64" i="1" s="1"/>
  <c r="C64" i="1" s="1"/>
  <c r="B8" i="1"/>
  <c r="C62" i="1" l="1"/>
  <c r="G100" i="1"/>
  <c r="H100" i="1" s="1"/>
  <c r="I100" i="1" s="1"/>
  <c r="J100" i="1" s="1"/>
  <c r="C100" i="1" s="1"/>
  <c r="F100" i="1" s="1"/>
  <c r="C101" i="1" s="1"/>
  <c r="F60" i="1"/>
  <c r="R21" i="2"/>
  <c r="S21" i="2"/>
  <c r="T21" i="2" s="1"/>
  <c r="S27" i="2"/>
  <c r="T27" i="2" s="1"/>
  <c r="R27" i="2"/>
  <c r="S19" i="2"/>
  <c r="T19" i="2" s="1"/>
  <c r="R19" i="2"/>
  <c r="R25" i="2"/>
  <c r="S25" i="2"/>
  <c r="T25" i="2" s="1"/>
  <c r="S23" i="2"/>
  <c r="T23" i="2" s="1"/>
  <c r="R23" i="2"/>
  <c r="R17" i="2"/>
  <c r="S17" i="2"/>
  <c r="T17" i="2" s="1"/>
  <c r="R26" i="2"/>
  <c r="S26" i="2"/>
  <c r="T26" i="2" s="1"/>
  <c r="R20" i="2"/>
  <c r="R24" i="2"/>
  <c r="R18" i="2"/>
  <c r="S22" i="2"/>
  <c r="T22" i="2" s="1"/>
  <c r="F73" i="1"/>
  <c r="D61" i="1"/>
  <c r="F61" i="1" s="1"/>
  <c r="D63" i="1"/>
  <c r="F63" i="1" s="1"/>
  <c r="D72" i="1"/>
  <c r="F72" i="1" s="1"/>
  <c r="D62" i="1"/>
  <c r="F62" i="1" s="1"/>
  <c r="D64" i="1"/>
  <c r="F64" i="1" s="1"/>
  <c r="D70" i="1"/>
  <c r="F70" i="1" s="1"/>
  <c r="D71" i="1"/>
  <c r="F71" i="1" s="1"/>
  <c r="C105" i="1" l="1"/>
  <c r="F105" i="1" s="1"/>
  <c r="C106" i="1" s="1"/>
  <c r="C120" i="1" s="1"/>
  <c r="C74" i="1"/>
  <c r="C115" i="1" s="1"/>
  <c r="C65" i="1"/>
  <c r="C114" i="1" s="1"/>
  <c r="C121" i="1" l="1"/>
  <c r="C123" i="1" s="1"/>
  <c r="C122" i="1" l="1"/>
</calcChain>
</file>

<file path=xl/sharedStrings.xml><?xml version="1.0" encoding="utf-8"?>
<sst xmlns="http://schemas.openxmlformats.org/spreadsheetml/2006/main" count="463" uniqueCount="339">
  <si>
    <t>TABELA DE INPUTS</t>
  </si>
  <si>
    <t>Ambiente</t>
  </si>
  <si>
    <t>Back-up</t>
  </si>
  <si>
    <t>Área</t>
  </si>
  <si>
    <t>Tipo de Construção</t>
  </si>
  <si>
    <t>Parede Oeste</t>
  </si>
  <si>
    <t>Parede Leste</t>
  </si>
  <si>
    <t>Parede Norte</t>
  </si>
  <si>
    <t>Parede Sul</t>
  </si>
  <si>
    <t>Pé Direito</t>
  </si>
  <si>
    <t>Divisória com Área não Climatizada 1</t>
  </si>
  <si>
    <t>Divisória com Área não Climatizada 2</t>
  </si>
  <si>
    <t>Divisória com Área Climatizada</t>
  </si>
  <si>
    <t>Dissipação</t>
  </si>
  <si>
    <t>N° Pessoas</t>
  </si>
  <si>
    <t>Vazão de Ar Externo (l/s)</t>
  </si>
  <si>
    <t>N° Portas Duplas</t>
  </si>
  <si>
    <t>N° Portas Simples</t>
  </si>
  <si>
    <t>Pressurização Pa</t>
  </si>
  <si>
    <t>Setpoint</t>
  </si>
  <si>
    <t>Combate a Incêndio</t>
  </si>
  <si>
    <t>Manual/Detecção</t>
  </si>
  <si>
    <t>U-Value 1 (Alvenaria Teto)</t>
  </si>
  <si>
    <t>U-Value 2 (Alvenaria Parede)</t>
  </si>
  <si>
    <t>U-Value 3 (Lã de Rocha Teto)</t>
  </si>
  <si>
    <t>U-Value 4 (Lã de Rocha Parede)</t>
  </si>
  <si>
    <t>AUX U-Value Parede</t>
  </si>
  <si>
    <t>AUX U-Value Teto</t>
  </si>
  <si>
    <t>AUX Portas Duplas</t>
  </si>
  <si>
    <t>AUX Portas Simples</t>
  </si>
  <si>
    <t>Valores de referência de U-Value:</t>
  </si>
  <si>
    <t>3,961 (alvenaria teto)</t>
  </si>
  <si>
    <t>2,546 (alvenaria parede)</t>
  </si>
  <si>
    <t>3 (usado em divisória de partition)</t>
  </si>
  <si>
    <t>2,7 (usado para piso de eletrocentro)</t>
  </si>
  <si>
    <t>1,12 (lã de rocha parede)</t>
  </si>
  <si>
    <t>1,145 (lã de rocha teto)</t>
  </si>
  <si>
    <t>Valores de referência de ΔT corrigido</t>
  </si>
  <si>
    <t>36 (teto)</t>
  </si>
  <si>
    <t>13 (paredes)</t>
  </si>
  <si>
    <t>Delta T Piso: 6°C</t>
  </si>
  <si>
    <t>GANHO PAREDES E TETO</t>
  </si>
  <si>
    <t>INPUT</t>
  </si>
  <si>
    <t>Área
(m²)</t>
  </si>
  <si>
    <t>U-Value
(W/m².K)</t>
  </si>
  <si>
    <t>ΔT corrigido
(°C)</t>
  </si>
  <si>
    <t>Ganho Térmico
 (W)</t>
  </si>
  <si>
    <t>Teto</t>
  </si>
  <si>
    <t>Total Externo</t>
  </si>
  <si>
    <t>Total Software</t>
  </si>
  <si>
    <t>GANHOS POR DIVISÓRIAS</t>
  </si>
  <si>
    <t>Área (m²)</t>
  </si>
  <si>
    <t>U-Value</t>
  </si>
  <si>
    <t>ΔT</t>
  </si>
  <si>
    <t>Ganho Térmico W</t>
  </si>
  <si>
    <t>Total</t>
  </si>
  <si>
    <t>GANHOS POR PISO</t>
  </si>
  <si>
    <t>Área
 (m²)</t>
  </si>
  <si>
    <t>U-Value
(W/(m².K)</t>
  </si>
  <si>
    <t>ΔT
(°C)</t>
  </si>
  <si>
    <t>Ganho Térmico
(W)</t>
  </si>
  <si>
    <t>Piso</t>
  </si>
  <si>
    <t>Total Piso</t>
  </si>
  <si>
    <t>GANHOS POR ILUMINAÇÃO</t>
  </si>
  <si>
    <t>Fator W/m²</t>
  </si>
  <si>
    <t>Fs</t>
  </si>
  <si>
    <t>Lâmpadas</t>
  </si>
  <si>
    <t>DISSIPAÇÃO TÉRMICA INTERNA</t>
  </si>
  <si>
    <t>Fator de Conversão</t>
  </si>
  <si>
    <t>Pe
(W)</t>
  </si>
  <si>
    <t>Ganho Térmico 
(W)</t>
  </si>
  <si>
    <t>Dissipação dos Painéis</t>
  </si>
  <si>
    <t>GANHOS POR OCUPAÇÃO DE PESSOAS</t>
  </si>
  <si>
    <t>Csp</t>
  </si>
  <si>
    <t>Clp</t>
  </si>
  <si>
    <t>O</t>
  </si>
  <si>
    <t>Dissipação de Pessoas</t>
  </si>
  <si>
    <t>GANHO SENSÍVEL DE AR EXTERNO</t>
  </si>
  <si>
    <t>m</t>
  </si>
  <si>
    <t>c</t>
  </si>
  <si>
    <t>l/s</t>
  </si>
  <si>
    <t>m³/h</t>
  </si>
  <si>
    <t>kg</t>
  </si>
  <si>
    <t>g</t>
  </si>
  <si>
    <t>Carga sensível de ar externo</t>
  </si>
  <si>
    <t>GANHO LATENTE DE AR EXTERNO</t>
  </si>
  <si>
    <t>Var
(l/s)</t>
  </si>
  <si>
    <t>f</t>
  </si>
  <si>
    <t>ΔUa
(g/Kg)</t>
  </si>
  <si>
    <t>Carga latente de ar externo</t>
  </si>
  <si>
    <t>SOMATÓRIO DAS PRINCIPAIS CARGAS</t>
  </si>
  <si>
    <t>Total Paredes Externas</t>
  </si>
  <si>
    <t>Total Divisórias Internas</t>
  </si>
  <si>
    <t>Total Iluminação</t>
  </si>
  <si>
    <t>Total Equipamentos</t>
  </si>
  <si>
    <t>Total Pessoas</t>
  </si>
  <si>
    <t>Total Ar Externo</t>
  </si>
  <si>
    <t>TOTAL</t>
  </si>
  <si>
    <t>TOTAL EM TR</t>
  </si>
  <si>
    <t>1,14kg/m³</t>
  </si>
  <si>
    <t>456L em 1 segundo</t>
  </si>
  <si>
    <t>kg/h</t>
  </si>
  <si>
    <t>dados de umidade absoluta interna e externa</t>
  </si>
  <si>
    <t>dados internos: 25° 50%</t>
  </si>
  <si>
    <t>0,00992 lb/lb</t>
  </si>
  <si>
    <t>a cada 1 lb de ar, 0,00992 lb de água</t>
  </si>
  <si>
    <t>453,59g de ar</t>
  </si>
  <si>
    <t>4,5g de água</t>
  </si>
  <si>
    <t>dados externos: 32,1° e 60,6%</t>
  </si>
  <si>
    <t>0,01839 lb/lb</t>
  </si>
  <si>
    <t>a cada 1 lb de ar, 0,01839 lb de água</t>
  </si>
  <si>
    <t>8,34g de água</t>
  </si>
  <si>
    <t>g/kg de dif (DUA)</t>
  </si>
  <si>
    <t>W = l/s x 3,01 x g/kg</t>
  </si>
  <si>
    <t>W = 456 x 3,01 x 8,47</t>
  </si>
  <si>
    <t xml:space="preserve">W = </t>
  </si>
  <si>
    <t>FOLHA DE DADOS FD-XXX-000-ProjREV0</t>
  </si>
  <si>
    <t>INTERNO ESI</t>
  </si>
  <si>
    <t>Cliente</t>
  </si>
  <si>
    <t>OBS:</t>
  </si>
  <si>
    <t>Cliente Final</t>
  </si>
  <si>
    <t>N° da Obra</t>
  </si>
  <si>
    <t>Data</t>
  </si>
  <si>
    <t>Rev.:</t>
  </si>
  <si>
    <t>Descrição</t>
  </si>
  <si>
    <t>Por:</t>
  </si>
  <si>
    <t>Ver:</t>
  </si>
  <si>
    <t>Data:</t>
  </si>
  <si>
    <t>A</t>
  </si>
  <si>
    <t>REV0</t>
  </si>
  <si>
    <t>MPH</t>
  </si>
  <si>
    <t>-</t>
  </si>
  <si>
    <t>B</t>
  </si>
  <si>
    <t>LOCAL DA OBRA:</t>
  </si>
  <si>
    <t>Cidade</t>
  </si>
  <si>
    <t>TBS 0,4%</t>
  </si>
  <si>
    <t>TBUc</t>
  </si>
  <si>
    <t>DR</t>
  </si>
  <si>
    <t>Latitude</t>
  </si>
  <si>
    <t>Longitude</t>
  </si>
  <si>
    <t>Altitude</t>
  </si>
  <si>
    <t>Automático:</t>
  </si>
  <si>
    <t>Belém/PA</t>
  </si>
  <si>
    <t>Manual:</t>
  </si>
  <si>
    <t>Objeto</t>
  </si>
  <si>
    <t>Tipo</t>
  </si>
  <si>
    <t>P.D. (m)</t>
  </si>
  <si>
    <t>Dissipação (W)</t>
  </si>
  <si>
    <t>N° Portas D</t>
  </si>
  <si>
    <t>N° Portas S</t>
  </si>
  <si>
    <t>Isolamento</t>
  </si>
  <si>
    <t>Pressurização ΔP (Pa)</t>
  </si>
  <si>
    <t>Carga Estimada</t>
  </si>
  <si>
    <t>Fator de Seg.</t>
  </si>
  <si>
    <t>Cap. Unit.</t>
  </si>
  <si>
    <t>Solução</t>
  </si>
  <si>
    <t>Com back-up</t>
  </si>
  <si>
    <t>FOLGA</t>
  </si>
  <si>
    <t>Climatizado</t>
  </si>
  <si>
    <t>N+1</t>
  </si>
  <si>
    <t>Sala de Baterias:</t>
  </si>
  <si>
    <t>Ventilado</t>
  </si>
  <si>
    <t>Baia de Trafo:</t>
  </si>
  <si>
    <t>Observações:</t>
  </si>
  <si>
    <t>PARTICULARIDADES DO SISTEMA</t>
  </si>
  <si>
    <t>CARACTERÍSTICAS ELÉTRICAS</t>
  </si>
  <si>
    <t>Alimentação dos equipamentos principais</t>
  </si>
  <si>
    <t>Alimentação dos equipamentos secundários</t>
  </si>
  <si>
    <t>Alimentação de equipamentos pequenos (exaustores)</t>
  </si>
  <si>
    <t>Comb. Incendio</t>
  </si>
  <si>
    <t>SP</t>
  </si>
  <si>
    <t>Eletrocentro</t>
  </si>
  <si>
    <t>SALA DE PAINEIS</t>
  </si>
  <si>
    <t>PROGRAMA ESTIMADO DE CÁLCULO DE CARGA TÉRMICA PARA GERAÇÃO DAS PROPOSTAS</t>
  </si>
  <si>
    <t>VARIÁVEIS DE INPUT:</t>
  </si>
  <si>
    <t>Nome do Ambiente</t>
  </si>
  <si>
    <t>Área do Ambiente</t>
  </si>
  <si>
    <t>TIPO DE VARIÁVEL</t>
  </si>
  <si>
    <t>Eletrocentro ou Alvenaria</t>
  </si>
  <si>
    <t>comprimento em metros</t>
  </si>
  <si>
    <t>Pé direito</t>
  </si>
  <si>
    <t>Divisória com  área não climatizada 1</t>
  </si>
  <si>
    <t>Divisória com  área não climatizada 2</t>
  </si>
  <si>
    <t>Divisória com área climatizada 1</t>
  </si>
  <si>
    <t>Divisória com área climatizada 2</t>
  </si>
  <si>
    <t>Dissipação Térmica</t>
  </si>
  <si>
    <t>Número em Watts</t>
  </si>
  <si>
    <t>N° pessoas</t>
  </si>
  <si>
    <t>Número inteiro</t>
  </si>
  <si>
    <t>Texto livre</t>
  </si>
  <si>
    <t>Área em m²</t>
  </si>
  <si>
    <t>N° de portas duplas</t>
  </si>
  <si>
    <t>N° de portas simples</t>
  </si>
  <si>
    <t>Possui back-up?</t>
  </si>
  <si>
    <t>N, N+1 ou N+2</t>
  </si>
  <si>
    <t>Pressurização</t>
  </si>
  <si>
    <t>Número inteiro em °C</t>
  </si>
  <si>
    <t>VARIÁVEIS DE SAÍDA</t>
  </si>
  <si>
    <t>Carga térmica estimada</t>
  </si>
  <si>
    <t>Calculada por meio de 9 fórmulas separadas que se somam para resultar na carga térmica estimada</t>
  </si>
  <si>
    <t>Proposta Comercial</t>
  </si>
  <si>
    <t>Proposta Técnica</t>
  </si>
  <si>
    <t>Alguns campos da Proposta Comecial serão preenchidos com base em uma seleção de equipamentos que o usuário fará</t>
  </si>
  <si>
    <t>Alguns campos da Proposta Técnica serão preenchidos com base em uma seleção de equipamentos que o usuário fará</t>
  </si>
  <si>
    <t>PROGRAMA DE CADASTRO DE PROPOSTAS</t>
  </si>
  <si>
    <t>O programa tem a simples finalidade de criar um banco de dados com numerações das propostas. A empresa já possui um padrão de numeração para as propostas que segue uma ordem com 3 letras iniciais do cliente + 3 números sequenciais. Exemplo: Proposta do cliente IHM Engenharia de número 150 apresentará a numeração IHM-150.</t>
  </si>
  <si>
    <t>Código de Cliente (vou te informar todos)</t>
  </si>
  <si>
    <t>Número (sequencial)</t>
  </si>
  <si>
    <t>3 letras</t>
  </si>
  <si>
    <t>3 números</t>
  </si>
  <si>
    <t>Cliente final</t>
  </si>
  <si>
    <t>Código Cliente</t>
  </si>
  <si>
    <t>Data do cadastro</t>
  </si>
  <si>
    <t>Orçamentista Responsável</t>
  </si>
  <si>
    <t>PROGRAMA DE GERAR FOLHA DE DADOS (ON HOLD)</t>
  </si>
  <si>
    <t>O programa tem a simples finalidade de criar um preenchimento automático de uma folha de dados baseado na seleção do usuário e informações do banco de dados</t>
  </si>
  <si>
    <t>Equipamento a puxar informações</t>
  </si>
  <si>
    <t>PROGRAMA DE GERAR CUSTO DE EQUIPAMENTO</t>
  </si>
  <si>
    <t>O programa tem a finalidade de buscar infomações no banco de dados baseado nas seleções do cliente para gerar o preço final do equipamento.</t>
  </si>
  <si>
    <t>O programa será muito parecido com gerar a Proposta Técnica (possívelmente será possível apenas copiar o programa da Proposta Técnica incluindo algumas informações extras para gerar um relatório chamado Memória de Cálculo e Memorial Descritivo com maior praticidade. Assim como a Proposta Técnica, o programa se resume em gerar um texto padrão com preenchimento automático de alguns campos.</t>
  </si>
  <si>
    <t>PROGRAMA DE GERAR MEMÓRIA DE CÁLCULO, MEMORIAL DESCRITIVO, CARGAS ELÉTRICAS</t>
  </si>
  <si>
    <t>PROGRAMA DE INCLUSÃO DE EQUIPAMENTOS NO BANCO DE DADOS</t>
  </si>
  <si>
    <t>PROGRAMA DE GERAR LISTA DE MATERIAIS</t>
  </si>
  <si>
    <t>Se resume em selecionar alguns equipamentos de determinados modelos e fabricantes que já estarão previamente cadastrados e preencher a planilha "Lista de Materiais" automaticamente com os dados que já foram previamente utilizados em etapas anteriores como por exemplo "Folha de Dados".</t>
  </si>
  <si>
    <t>PROGRAMA DE CADASTRO DE DADOS AMBIENTAIS E PROPRIEDADES DOS MATERIAIS</t>
  </si>
  <si>
    <t>PROGRAMA DE CÁLCULO TERMODINÂMICO, PRESSURIZAÇÃO E DILUIÇÃO DE H2 PARA PRINT OUT DA MEMORIA DE CÁLCULO</t>
  </si>
  <si>
    <t>Número inteiro em Pa (Pascal)</t>
  </si>
  <si>
    <t>CHAVES DE INPUT</t>
  </si>
  <si>
    <t>Configuração</t>
  </si>
  <si>
    <t>Opção 1: Bocal de insuflamento protegido por grelha diretamente no ambiente</t>
  </si>
  <si>
    <t>Opção 2: Bocal acoplado à rede de dutos por lona flexível. Distribuição por grelhas.</t>
  </si>
  <si>
    <t>Opção 3: Condicionadores fixados externamente à SE, sobre mão-francesa na parede.</t>
  </si>
  <si>
    <t>Opção 4: Evaporadoras internas ao ambiente climatizado</t>
  </si>
  <si>
    <t>Opção 5: Evaporadoras em casa de máquinas</t>
  </si>
  <si>
    <t>Opção 6: Condensadores fixados externamente à sala elétrica</t>
  </si>
  <si>
    <t>X</t>
  </si>
  <si>
    <t>DADOS PARA ELABORAÇÃO DA PROPOSTA TÉCNICA</t>
  </si>
  <si>
    <t>ETAPA 1: CÁLCULO DA CARGA ESTIMADA</t>
  </si>
  <si>
    <t>ETAPA 2: DEFINIÇÃO DA MÁQUINA</t>
  </si>
  <si>
    <t>LEGENDA</t>
  </si>
  <si>
    <t>Dados intermediário, calculado com base nos inputs informados</t>
  </si>
  <si>
    <t>Constantes de cálculo (não se alteram)</t>
  </si>
  <si>
    <t>Resultado que nos interessa</t>
  </si>
  <si>
    <t>Opção 1: Wall Mounted</t>
  </si>
  <si>
    <t>Opção 2: Split System</t>
  </si>
  <si>
    <t>Opção 3: Self Contained</t>
  </si>
  <si>
    <t>Opção 4: Rooftop</t>
  </si>
  <si>
    <t>Opção 5: Split</t>
  </si>
  <si>
    <t>Opção 6: Rackplug</t>
  </si>
  <si>
    <t>Definição do tipo de máquina a ser utilizada</t>
  </si>
  <si>
    <t>ETAPA 2.1: DEFINIÇÃO DOS OPCIONAIS DE MÁQUINA</t>
  </si>
  <si>
    <t>Modbus TCP-IP</t>
  </si>
  <si>
    <t>Opcional 3:</t>
  </si>
  <si>
    <t>Opcional 1:</t>
  </si>
  <si>
    <t>Automação Embarcada</t>
  </si>
  <si>
    <t>Opcional 2:</t>
  </si>
  <si>
    <t>Sensor de umidade para monitoramento</t>
  </si>
  <si>
    <t>Sensor de filtro sujo</t>
  </si>
  <si>
    <t>Sensor de fluxo</t>
  </si>
  <si>
    <t>Controle de umidade com resistência de aquecimento e sensor de umidade</t>
  </si>
  <si>
    <t>Pintura especial (cliente deve informar plano de pintura requerido)</t>
  </si>
  <si>
    <t>Tratamento goldfin anticorrosivo no aletado de alumínio</t>
  </si>
  <si>
    <t>Painel elétrico interno (incompatível com damper corta-fogo embutido)</t>
  </si>
  <si>
    <t>Damper corta-fogo 90min embutido</t>
  </si>
  <si>
    <t>Damper corta-fogo 120min embutido</t>
  </si>
  <si>
    <t>Damper de ar externo</t>
  </si>
  <si>
    <t>Ventilador eletrônico EC no evaporador</t>
  </si>
  <si>
    <t>Ventilador eletrônico EC no condensador</t>
  </si>
  <si>
    <t>Controle de condensação proporcional por inversor embarcado</t>
  </si>
  <si>
    <t>Compressor Inverter</t>
  </si>
  <si>
    <t>Dupla alimentação de energia</t>
  </si>
  <si>
    <t>Bandeja de INOX</t>
  </si>
  <si>
    <t>Gabinete em INOX (cliente deve informar qual INOX)</t>
  </si>
  <si>
    <t>Plaquetas de identificação em INOX (padrão em alumínio)</t>
  </si>
  <si>
    <t>Parafusos, porcas e arruelas em INOX</t>
  </si>
  <si>
    <t>Serpentina da evaporadora com tubos em cobre</t>
  </si>
  <si>
    <t>Serpentina da condensadora com tubos em cobre</t>
  </si>
  <si>
    <t>Serpentina da condensadora com 12 aletas por polegada.</t>
  </si>
  <si>
    <t>P.E.D 5mmCA (sem acoplamento a dutos, grelha de insuflamento inclusa)</t>
  </si>
  <si>
    <t>Opcional 4:</t>
  </si>
  <si>
    <t>Opcional 5:</t>
  </si>
  <si>
    <t>Opcional 6:</t>
  </si>
  <si>
    <t>Opcional 7:</t>
  </si>
  <si>
    <t>Opcional 8:</t>
  </si>
  <si>
    <t>Opcional 9:</t>
  </si>
  <si>
    <t>Opcional 10:</t>
  </si>
  <si>
    <t>Opcional 11:</t>
  </si>
  <si>
    <t>Opcional 12:</t>
  </si>
  <si>
    <t>Opcional 13:</t>
  </si>
  <si>
    <t>Opcional 14:</t>
  </si>
  <si>
    <t>Opcional 15:</t>
  </si>
  <si>
    <t>Opcional 16:</t>
  </si>
  <si>
    <t>Opcional 17:</t>
  </si>
  <si>
    <t>Opcional 18:</t>
  </si>
  <si>
    <t>Opcional 19:</t>
  </si>
  <si>
    <t>Opcional 20:</t>
  </si>
  <si>
    <t>Opcional 21:</t>
  </si>
  <si>
    <t>Opcional 22:</t>
  </si>
  <si>
    <t>Opcional 23:</t>
  </si>
  <si>
    <t>Opcional 24:</t>
  </si>
  <si>
    <t>Opcional 25:</t>
  </si>
  <si>
    <t>Definição dos opcionais a serem utilizados na máquina (será selecionado pelo usuário, como checkbox, por exemplo. Exibir inclusive os opcionais não selecionados para que o cliente tenha ciência das opções existentes e as opções inclusas.</t>
  </si>
  <si>
    <t>FIM DA ETAPA 1. RESULTARÁ EM UM NÚMERO (CARGA TÉRMICA) QUE SERÁ UTILIZADO COMO INPUT PARA AS PRÓXIMAS ETAPAS</t>
  </si>
  <si>
    <t>1TR</t>
  </si>
  <si>
    <t>2TR</t>
  </si>
  <si>
    <t>3TR</t>
  </si>
  <si>
    <t>4TR</t>
  </si>
  <si>
    <t>5TR</t>
  </si>
  <si>
    <t>7,5TR</t>
  </si>
  <si>
    <t>10TR</t>
  </si>
  <si>
    <t>12,5TR</t>
  </si>
  <si>
    <t>15TR</t>
  </si>
  <si>
    <t>20TR</t>
  </si>
  <si>
    <t>25TR</t>
  </si>
  <si>
    <t>30TR</t>
  </si>
  <si>
    <t>Definição da potência do equipamento.
O range de potência depende do tipo de equipamento selecionado. Wall Mounted vai até 30TR, mas Split System e Self Contained vão até 60TR. Sugiro focarmos no Wall Mounted no primeiro momento e posteriormente acrescentar outros tipos de máquinas</t>
  </si>
  <si>
    <t>Definição da tensão de alimentação das máquinas</t>
  </si>
  <si>
    <t>127V/1F</t>
  </si>
  <si>
    <t>220V/1F</t>
  </si>
  <si>
    <t>220V/3F</t>
  </si>
  <si>
    <t>380V/3F</t>
  </si>
  <si>
    <t>440V/3F</t>
  </si>
  <si>
    <t>460V/3F</t>
  </si>
  <si>
    <t>480V/3F</t>
  </si>
  <si>
    <t>FIM DA ETAPA 2. NO FIM DESTA ETAPA, JÁ TEREMOS:
QUANTIDADE DE EQUIPAMENTOS (ETAPA 1 DIVIDIDO PELA CAPACIDADE ESCOLHIDA PELO USUÁRIO)
CAPACIDADE
CARACTERÍSTICAS QUE POSSIBILITAM MONTAR O PREÇO UNITÁRIO</t>
  </si>
  <si>
    <t>ETAPA 3: INFORMAÇÕES EXTRAS PARA ELABORAÇÃO DA PROPOSTA COMERCIAL</t>
  </si>
  <si>
    <t>PIS</t>
  </si>
  <si>
    <t>COFINS</t>
  </si>
  <si>
    <t>IPI</t>
  </si>
  <si>
    <t>ICMS</t>
  </si>
  <si>
    <t>PRAZO DE ENTREGA</t>
  </si>
  <si>
    <t>FRETE</t>
  </si>
  <si>
    <t>NCM</t>
  </si>
  <si>
    <t>PERCENTUAL DE IMPOSTO</t>
  </si>
  <si>
    <t>X a X dias</t>
  </si>
  <si>
    <t>FOB/(cidade do fabricante) ou CIF</t>
  </si>
  <si>
    <t>(número)</t>
  </si>
  <si>
    <t>Informações estarão no banco de dados, para cada tipo de equipamento</t>
  </si>
  <si>
    <t>FIM DA ETAPA 1, 2 E 3. NESTA FASE, JÁ SERÁ POSSÍVEL GERAR A PROPOSTA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</si>
</sst>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General\ &quot;m²&quot;"/>
    <numFmt numFmtId="165" formatCode="General\ &quot;W&quot;"/>
    <numFmt numFmtId="166" formatCode="General\ &quot;TR&quot;"/>
    <numFmt numFmtId="167" formatCode="General\ &quot;m&quot;"/>
    <numFmt numFmtId="168" formatCode="General\ &quot;l/s&quot;"/>
    <numFmt numFmtId="169" formatCode="General\ &quot;Pa&quot;"/>
    <numFmt numFmtId="170" formatCode="General\ \°\C"/>
    <numFmt numFmtId="171" formatCode="0.0"/>
    <numFmt numFmtId="172" formatCode="General&quot;°&quot;"/>
    <numFmt numFmtId="173" formatCode="General\ \W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libri"/>
      <family val="2"/>
    </font>
    <font>
      <sz val="8"/>
      <color rgb="FF000000"/>
      <name val="Segoe UI"/>
      <family val="2"/>
    </font>
    <font>
      <b/>
      <sz val="15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right" vertical="center"/>
    </xf>
    <xf numFmtId="164" fontId="8" fillId="0" borderId="4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4" xfId="0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right"/>
    </xf>
    <xf numFmtId="165" fontId="8" fillId="0" borderId="4" xfId="0" applyNumberFormat="1" applyFont="1" applyBorder="1" applyAlignment="1">
      <alignment horizontal="center" vertical="center"/>
    </xf>
    <xf numFmtId="168" fontId="8" fillId="4" borderId="4" xfId="0" applyNumberFormat="1" applyFont="1" applyFill="1" applyBorder="1" applyAlignment="1">
      <alignment horizontal="center" vertical="center"/>
    </xf>
    <xf numFmtId="169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2" fontId="0" fillId="0" borderId="0" xfId="0" applyNumberFormat="1"/>
    <xf numFmtId="0" fontId="3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2" fontId="0" fillId="0" borderId="4" xfId="0" applyNumberForma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165" fontId="0" fillId="0" borderId="0" xfId="0" applyNumberFormat="1"/>
    <xf numFmtId="0" fontId="3" fillId="4" borderId="6" xfId="0" applyFont="1" applyFill="1" applyBorder="1" applyAlignment="1">
      <alignment horizontal="center"/>
    </xf>
    <xf numFmtId="0" fontId="3" fillId="4" borderId="4" xfId="0" applyFont="1" applyFill="1" applyBorder="1"/>
    <xf numFmtId="0" fontId="3" fillId="4" borderId="7" xfId="0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13" fillId="0" borderId="4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3" borderId="15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left"/>
    </xf>
    <xf numFmtId="0" fontId="3" fillId="3" borderId="5" xfId="0" applyFont="1" applyFill="1" applyBorder="1" applyAlignment="1">
      <alignment vertical="top"/>
    </xf>
    <xf numFmtId="0" fontId="3" fillId="3" borderId="16" xfId="0" applyFont="1" applyFill="1" applyBorder="1" applyAlignment="1">
      <alignment vertical="top"/>
    </xf>
    <xf numFmtId="0" fontId="14" fillId="3" borderId="14" xfId="0" applyFont="1" applyFill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4" xfId="0" applyBorder="1" applyAlignment="1">
      <alignment horizontal="center" vertical="top"/>
    </xf>
    <xf numFmtId="14" fontId="0" fillId="0" borderId="18" xfId="0" applyNumberFormat="1" applyBorder="1" applyAlignment="1">
      <alignment horizontal="center" vertical="top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center"/>
    </xf>
    <xf numFmtId="170" fontId="2" fillId="7" borderId="1" xfId="0" applyNumberFormat="1" applyFont="1" applyFill="1" applyBorder="1" applyAlignment="1">
      <alignment horizontal="center" vertical="center"/>
    </xf>
    <xf numFmtId="172" fontId="2" fillId="7" borderId="1" xfId="0" applyNumberFormat="1" applyFont="1" applyFill="1" applyBorder="1" applyAlignment="1">
      <alignment horizontal="center" vertical="center"/>
    </xf>
    <xf numFmtId="167" fontId="2" fillId="7" borderId="1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4" fontId="15" fillId="6" borderId="0" xfId="0" applyNumberFormat="1" applyFont="1" applyFill="1" applyAlignment="1">
      <alignment horizontal="center" vertical="center"/>
    </xf>
    <xf numFmtId="167" fontId="15" fillId="6" borderId="0" xfId="0" applyNumberFormat="1" applyFont="1" applyFill="1" applyAlignment="1">
      <alignment horizontal="center" vertical="center"/>
    </xf>
    <xf numFmtId="173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" fontId="15" fillId="6" borderId="0" xfId="0" applyNumberFormat="1" applyFont="1" applyFill="1" applyAlignment="1">
      <alignment horizontal="center" vertical="center"/>
    </xf>
    <xf numFmtId="169" fontId="3" fillId="0" borderId="27" xfId="0" applyNumberFormat="1" applyFont="1" applyBorder="1" applyAlignment="1">
      <alignment horizontal="left" vertical="center"/>
    </xf>
    <xf numFmtId="170" fontId="3" fillId="0" borderId="18" xfId="0" applyNumberFormat="1" applyFont="1" applyBorder="1" applyAlignment="1">
      <alignment horizontal="left" vertical="center"/>
    </xf>
    <xf numFmtId="166" fontId="0" fillId="5" borderId="0" xfId="0" applyNumberFormat="1" applyFill="1" applyAlignment="1">
      <alignment horizontal="center"/>
    </xf>
    <xf numFmtId="10" fontId="0" fillId="5" borderId="0" xfId="0" applyNumberFormat="1" applyFill="1" applyAlignment="1">
      <alignment horizontal="center"/>
    </xf>
    <xf numFmtId="166" fontId="0" fillId="8" borderId="4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166" fontId="0" fillId="0" borderId="0" xfId="0" applyNumberFormat="1"/>
    <xf numFmtId="10" fontId="0" fillId="0" borderId="0" xfId="1" applyNumberFormat="1" applyFont="1"/>
    <xf numFmtId="0" fontId="15" fillId="0" borderId="21" xfId="0" applyFont="1" applyBorder="1" applyAlignment="1">
      <alignment horizontal="center" vertical="center"/>
    </xf>
    <xf numFmtId="169" fontId="3" fillId="0" borderId="28" xfId="0" applyNumberFormat="1" applyFont="1" applyBorder="1" applyAlignment="1">
      <alignment horizontal="left" vertical="center"/>
    </xf>
    <xf numFmtId="170" fontId="3" fillId="0" borderId="22" xfId="0" applyNumberFormat="1" applyFont="1" applyBorder="1" applyAlignment="1">
      <alignment horizontal="left" vertical="center"/>
    </xf>
    <xf numFmtId="0" fontId="3" fillId="0" borderId="29" xfId="0" applyFont="1" applyBorder="1" applyAlignment="1">
      <alignment vertical="top"/>
    </xf>
    <xf numFmtId="0" fontId="3" fillId="4" borderId="30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14" xfId="0" applyFill="1" applyBorder="1"/>
    <xf numFmtId="0" fontId="0" fillId="0" borderId="8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70" fontId="3" fillId="5" borderId="18" xfId="0" applyNumberFormat="1" applyFont="1" applyFill="1" applyBorder="1" applyAlignment="1">
      <alignment horizontal="center" vertical="center"/>
    </xf>
    <xf numFmtId="166" fontId="3" fillId="5" borderId="32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3" fillId="4" borderId="7" xfId="0" applyFont="1" applyFill="1" applyBorder="1"/>
    <xf numFmtId="0" fontId="3" fillId="4" borderId="8" xfId="0" applyFont="1" applyFill="1" applyBorder="1"/>
    <xf numFmtId="166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10" borderId="4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 wrapText="1"/>
    </xf>
    <xf numFmtId="0" fontId="3" fillId="5" borderId="0" xfId="0" applyFont="1" applyFill="1"/>
    <xf numFmtId="0" fontId="0" fillId="5" borderId="0" xfId="0" applyFill="1"/>
    <xf numFmtId="165" fontId="0" fillId="5" borderId="0" xfId="0" applyNumberFormat="1" applyFill="1"/>
    <xf numFmtId="0" fontId="0" fillId="5" borderId="4" xfId="0" applyFill="1" applyBorder="1" applyAlignment="1">
      <alignment horizontal="center" vertical="center"/>
    </xf>
    <xf numFmtId="171" fontId="0" fillId="13" borderId="4" xfId="0" applyNumberForma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0" borderId="0" xfId="0" applyFill="1"/>
    <xf numFmtId="0" fontId="0" fillId="11" borderId="0" xfId="0" applyFill="1"/>
    <xf numFmtId="0" fontId="0" fillId="10" borderId="4" xfId="0" applyFill="1" applyBorder="1" applyAlignment="1">
      <alignment horizontal="center" vertical="center"/>
    </xf>
    <xf numFmtId="2" fontId="0" fillId="11" borderId="4" xfId="0" applyNumberForma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71" fontId="0" fillId="12" borderId="4" xfId="0" applyNumberFormat="1" applyFill="1" applyBorder="1" applyAlignment="1">
      <alignment horizontal="center" vertical="center"/>
    </xf>
    <xf numFmtId="0" fontId="0" fillId="11" borderId="4" xfId="0" applyFill="1" applyBorder="1" applyAlignment="1">
      <alignment horizontal="center"/>
    </xf>
    <xf numFmtId="3" fontId="0" fillId="12" borderId="4" xfId="0" applyNumberForma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5" borderId="4" xfId="0" applyFill="1" applyBorder="1"/>
    <xf numFmtId="0" fontId="0" fillId="5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/>
    </xf>
    <xf numFmtId="165" fontId="3" fillId="4" borderId="4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5" fontId="3" fillId="6" borderId="4" xfId="0" applyNumberFormat="1" applyFont="1" applyFill="1" applyBorder="1" applyAlignment="1">
      <alignment horizontal="center"/>
    </xf>
    <xf numFmtId="165" fontId="3" fillId="6" borderId="6" xfId="0" applyNumberFormat="1" applyFont="1" applyFill="1" applyBorder="1" applyAlignment="1">
      <alignment horizontal="center"/>
    </xf>
    <xf numFmtId="165" fontId="3" fillId="6" borderId="7" xfId="0" applyNumberFormat="1" applyFont="1" applyFill="1" applyBorder="1" applyAlignment="1">
      <alignment horizontal="center"/>
    </xf>
    <xf numFmtId="165" fontId="3" fillId="6" borderId="8" xfId="0" applyNumberFormat="1" applyFont="1" applyFill="1" applyBorder="1" applyAlignment="1">
      <alignment horizontal="center"/>
    </xf>
    <xf numFmtId="165" fontId="3" fillId="6" borderId="9" xfId="0" applyNumberFormat="1" applyFont="1" applyFill="1" applyBorder="1" applyAlignment="1">
      <alignment horizontal="center"/>
    </xf>
    <xf numFmtId="165" fontId="3" fillId="6" borderId="10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5" fontId="3" fillId="6" borderId="4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4" borderId="30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0" borderId="15" xfId="0" applyBorder="1"/>
    <xf numFmtId="0" fontId="0" fillId="0" borderId="0" xfId="0"/>
    <xf numFmtId="0" fontId="0" fillId="9" borderId="0" xfId="0" applyFill="1"/>
    <xf numFmtId="0" fontId="0" fillId="9" borderId="0" xfId="0" applyFill="1" applyAlignment="1">
      <alignment vertical="top" wrapText="1"/>
    </xf>
    <xf numFmtId="0" fontId="0" fillId="9" borderId="14" xfId="0" applyFill="1" applyBorder="1"/>
    <xf numFmtId="0" fontId="3" fillId="5" borderId="15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14" fontId="3" fillId="0" borderId="6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5" borderId="0" xfId="0" applyFill="1" applyBorder="1"/>
    <xf numFmtId="0" fontId="3" fillId="5" borderId="0" xfId="0" applyFont="1" applyFill="1" applyAlignment="1">
      <alignment horizontal="left" vertical="center" wrapText="1"/>
    </xf>
    <xf numFmtId="0" fontId="0" fillId="5" borderId="0" xfId="0" applyFont="1" applyFill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Spin" dx="26" fmlaLink="$L17" max="55" min="18" page="10" val="29"/>
</file>

<file path=xl/ctrlProps/ctrlProp3.xml><?xml version="1.0" encoding="utf-8"?>
<formControlPr xmlns="http://schemas.microsoft.com/office/spreadsheetml/2009/9/main" objectType="Spin" dx="26" fmlaLink="$L$17" max="55" min="18" page="10" val="29"/>
</file>

<file path=xl/ctrlProps/ctrlProp4.xml><?xml version="1.0" encoding="utf-8"?>
<formControlPr xmlns="http://schemas.microsoft.com/office/spreadsheetml/2009/9/main" objectType="Spin" dx="26" fmlaLink="$L$17" max="55" min="18" page="10" val="29"/>
</file>

<file path=xl/ctrlProps/ctrlProp5.xml><?xml version="1.0" encoding="utf-8"?>
<formControlPr xmlns="http://schemas.microsoft.com/office/spreadsheetml/2009/9/main" objectType="Spin" dx="26" fmlaLink="$L$17" max="55" min="18" page="10" val="29"/>
</file>

<file path=xl/ctrlProps/ctrlProp6.xml><?xml version="1.0" encoding="utf-8"?>
<formControlPr xmlns="http://schemas.microsoft.com/office/spreadsheetml/2009/9/main" objectType="Spin" dx="26" fmlaLink="$L$17" max="55" min="18" page="10" val="29"/>
</file>

<file path=xl/ctrlProps/ctrlProp7.xml><?xml version="1.0" encoding="utf-8"?>
<formControlPr xmlns="http://schemas.microsoft.com/office/spreadsheetml/2009/9/main" objectType="Spin" dx="26" fmlaLink="$L$17" max="55" min="18" page="10" val="29"/>
</file>

<file path=xl/ctrlProps/ctrlProp8.xml><?xml version="1.0" encoding="utf-8"?>
<formControlPr xmlns="http://schemas.microsoft.com/office/spreadsheetml/2009/9/main" objectType="Spin" dx="26" fmlaLink="$L$17" max="55" min="18" page="10" val="29"/>
</file>

<file path=xl/ctrlProps/ctrlProp9.xml><?xml version="1.0" encoding="utf-8"?>
<formControlPr xmlns="http://schemas.microsoft.com/office/spreadsheetml/2009/9/main" objectType="Spin" dx="26" fmlaLink="$L$17" max="55" min="18" page="10" val="29"/>
</file>

<file path=xl/ctrlProps/ctrlProp10.xml><?xml version="1.0" encoding="utf-8"?>
<formControlPr xmlns="http://schemas.microsoft.com/office/spreadsheetml/2009/9/main" objectType="Spin" dx="26" fmlaLink="$L$17" max="55" min="18" page="10" val="29"/>
</file>

<file path=xl/ctrlProps/ctrlProp11.xml><?xml version="1.0" encoding="utf-8"?>
<formControlPr xmlns="http://schemas.microsoft.com/office/spreadsheetml/2009/9/main" objectType="Spin" dx="26" fmlaLink="$L18" max="55" min="18" page="10" val="18"/>
</file>

<file path=xl/ctrlProps/ctrlProp12.xml><?xml version="1.0" encoding="utf-8"?>
<formControlPr xmlns="http://schemas.microsoft.com/office/spreadsheetml/2009/9/main" objectType="Spin" dx="26" fmlaLink="$L$17" max="55" min="18" page="10" val="29"/>
</file>

<file path=xl/ctrlProps/ctrlProp13.xml><?xml version="1.0" encoding="utf-8"?>
<formControlPr xmlns="http://schemas.microsoft.com/office/spreadsheetml/2009/9/main" objectType="Spin" dx="26" fmlaLink="$L18" max="55" min="18" page="10" val="18"/>
</file>

<file path=xl/ctrlProps/ctrlProp14.xml><?xml version="1.0" encoding="utf-8"?>
<formControlPr xmlns="http://schemas.microsoft.com/office/spreadsheetml/2009/9/main" objectType="Spin" dx="26" fmlaLink="$L19" max="55" min="18" page="10" val="18"/>
</file>

<file path=xl/ctrlProps/ctrlProp15.xml><?xml version="1.0" encoding="utf-8"?>
<formControlPr xmlns="http://schemas.microsoft.com/office/spreadsheetml/2009/9/main" objectType="Spin" dx="26" fmlaLink="$L20" max="55" min="18" page="10" val="18"/>
</file>

<file path=xl/ctrlProps/ctrlProp16.xml><?xml version="1.0" encoding="utf-8"?>
<formControlPr xmlns="http://schemas.microsoft.com/office/spreadsheetml/2009/9/main" objectType="Spin" dx="26" fmlaLink="$L25" max="55" min="18" page="10" val="18"/>
</file>

<file path=xl/ctrlProps/ctrlProp17.xml><?xml version="1.0" encoding="utf-8"?>
<formControlPr xmlns="http://schemas.microsoft.com/office/spreadsheetml/2009/9/main" objectType="Spin" dx="26" fmlaLink="K17" inc="5" max="30" page="10" val="0"/>
</file>

<file path=xl/ctrlProps/ctrlProp18.xml><?xml version="1.0" encoding="utf-8"?>
<formControlPr xmlns="http://schemas.microsoft.com/office/spreadsheetml/2009/9/main" objectType="Spin" dx="26" fmlaLink="K18" inc="5" max="30" page="10" val="0"/>
</file>

<file path=xl/ctrlProps/ctrlProp19.xml><?xml version="1.0" encoding="utf-8"?>
<formControlPr xmlns="http://schemas.microsoft.com/office/spreadsheetml/2009/9/main" objectType="Spin" dx="26" fmlaLink="K19" inc="5" max="30" page="10" val="0"/>
</file>

<file path=xl/ctrlProps/ctrlProp20.xml><?xml version="1.0" encoding="utf-8"?>
<formControlPr xmlns="http://schemas.microsoft.com/office/spreadsheetml/2009/9/main" objectType="Spin" dx="26" fmlaLink="K20" inc="5" max="30" page="10" val="0"/>
</file>

<file path=xl/ctrlProps/ctrlProp21.xml><?xml version="1.0" encoding="utf-8"?>
<formControlPr xmlns="http://schemas.microsoft.com/office/spreadsheetml/2009/9/main" objectType="Spin" dx="26" fmlaLink="K25" inc="5" max="30" page="10" val="0"/>
</file>

<file path=xl/ctrlProps/ctrlProp22.xml><?xml version="1.0" encoding="utf-8"?>
<formControlPr xmlns="http://schemas.microsoft.com/office/spreadsheetml/2009/9/main" objectType="Radio" firstButton="1" lockText="1" noThreeD="1"/>
</file>

<file path=xl/ctrlProps/ctrlProp23.xml><?xml version="1.0" encoding="utf-8"?>
<formControlPr xmlns="http://schemas.microsoft.com/office/spreadsheetml/2009/9/main" objectType="Radio" checked="Checked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GBox" noThreeD="1"/>
</file>

<file path=xl/ctrlProps/ctrlProp27.xml><?xml version="1.0" encoding="utf-8"?>
<formControlPr xmlns="http://schemas.microsoft.com/office/spreadsheetml/2009/9/main" objectType="Radio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GBox" noThreeD="1"/>
</file>

<file path=xl/ctrlProps/ctrlProp33.xml><?xml version="1.0" encoding="utf-8"?>
<formControlPr xmlns="http://schemas.microsoft.com/office/spreadsheetml/2009/9/main" objectType="GBox" noThreeD="1"/>
</file>

<file path=xl/ctrlProps/ctrlProp34.xml><?xml version="1.0" encoding="utf-8"?>
<formControlPr xmlns="http://schemas.microsoft.com/office/spreadsheetml/2009/9/main" objectType="Radio" firstButton="1" lockText="1" noThreeD="1"/>
</file>

<file path=xl/ctrlProps/ctrlProp35.xml><?xml version="1.0" encoding="utf-8"?>
<formControlPr xmlns="http://schemas.microsoft.com/office/spreadsheetml/2009/9/main" objectType="Radio" lockText="1" noThreeD="1"/>
</file>

<file path=xl/ctrlProps/ctrlProp36.xml><?xml version="1.0" encoding="utf-8"?>
<formControlPr xmlns="http://schemas.microsoft.com/office/spreadsheetml/2009/9/main" objectType="Radio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GBox" noThreeD="1"/>
</file>

<file path=xl/ctrlProps/ctrlProp42.xml><?xml version="1.0" encoding="utf-8"?>
<formControlPr xmlns="http://schemas.microsoft.com/office/spreadsheetml/2009/9/main" objectType="GBox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Radio" firstButton="1" lockText="1" noThreeD="1"/>
</file>

<file path=xl/ctrlProps/ctrlProp48.xml><?xml version="1.0" encoding="utf-8"?>
<formControlPr xmlns="http://schemas.microsoft.com/office/spreadsheetml/2009/9/main" objectType="Radio" checked="Checked" lockText="1" noThreeD="1"/>
</file>

<file path=xl/ctrlProps/ctrlProp49.xml><?xml version="1.0" encoding="utf-8"?>
<formControlPr xmlns="http://schemas.microsoft.com/office/spreadsheetml/2009/9/main" objectType="Radio" lockText="1" noThreeD="1"/>
</file>

<file path=xl/ctrlProps/ctrlProp50.xml><?xml version="1.0" encoding="utf-8"?>
<formControlPr xmlns="http://schemas.microsoft.com/office/spreadsheetml/2009/9/main" objectType="GBox" noThreeD="1"/>
</file>

<file path=xl/ctrlProps/ctrlProp51.xml><?xml version="1.0" encoding="utf-8"?>
<formControlPr xmlns="http://schemas.microsoft.com/office/spreadsheetml/2009/9/main" objectType="GBox" noThreeD="1"/>
</file>

<file path=xl/ctrlProps/ctrlProp52.xml><?xml version="1.0" encoding="utf-8"?>
<formControlPr xmlns="http://schemas.microsoft.com/office/spreadsheetml/2009/9/main" objectType="GBox" noThreeD="1"/>
</file>

<file path=xl/ctrlProps/ctrlProp53.xml><?xml version="1.0" encoding="utf-8"?>
<formControlPr xmlns="http://schemas.microsoft.com/office/spreadsheetml/2009/9/main" objectType="Radio" firstButton="1" lockText="1" noThreeD="1"/>
</file>

<file path=xl/ctrlProps/ctrlProp54.xml><?xml version="1.0" encoding="utf-8"?>
<formControlPr xmlns="http://schemas.microsoft.com/office/spreadsheetml/2009/9/main" objectType="Radio" lockText="1" noThreeD="1"/>
</file>

<file path=xl/ctrlProps/ctrlProp55.xml><?xml version="1.0" encoding="utf-8"?>
<formControlPr xmlns="http://schemas.microsoft.com/office/spreadsheetml/2009/9/main" objectType="Radio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GBox" noThreeD="1"/>
</file>

<file path=xl/ctrlProps/ctrlProp61.xml><?xml version="1.0" encoding="utf-8"?>
<formControlPr xmlns="http://schemas.microsoft.com/office/spreadsheetml/2009/9/main" objectType="GBox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Radio" firstButton="1" lockText="1" noThreeD="1"/>
</file>

<file path=xl/ctrlProps/ctrlProp69.xml><?xml version="1.0" encoding="utf-8"?>
<formControlPr xmlns="http://schemas.microsoft.com/office/spreadsheetml/2009/9/main" objectType="Radio" lockText="1" noThreeD="1"/>
</file>

<file path=xl/ctrlProps/ctrlProp70.xml><?xml version="1.0" encoding="utf-8"?>
<formControlPr xmlns="http://schemas.microsoft.com/office/spreadsheetml/2009/9/main" objectType="Radio" checked="Checked" lockText="1" noThreeD="1"/>
</file>

<file path=xl/ctrlProps/ctrlProp71.xml><?xml version="1.0" encoding="utf-8"?>
<formControlPr xmlns="http://schemas.microsoft.com/office/spreadsheetml/2009/9/main" objectType="Radio" checked="Checked" firstButton="1" lockText="1" noThreeD="1"/>
</file>

<file path=xl/ctrlProps/ctrlProp72.xml><?xml version="1.0" encoding="utf-8"?>
<formControlPr xmlns="http://schemas.microsoft.com/office/spreadsheetml/2009/9/main" objectType="Radio" lockText="1" noThreeD="1"/>
</file>

<file path=xl/ctrlProps/ctrlProp73.xml><?xml version="1.0" encoding="utf-8"?>
<formControlPr xmlns="http://schemas.microsoft.com/office/spreadsheetml/2009/9/main" objectType="Spin" dx="26" fmlaLink="$L$17" max="55" min="18" page="10" val="29"/>
</file>

<file path=xl/ctrlProps/ctrlProp74.xml><?xml version="1.0" encoding="utf-8"?>
<formControlPr xmlns="http://schemas.microsoft.com/office/spreadsheetml/2009/9/main" objectType="Spin" dx="26" fmlaLink="$L$17" max="55" min="18" page="10" val="29"/>
</file>

<file path=xl/ctrlProps/ctrlProp75.xml><?xml version="1.0" encoding="utf-8"?>
<formControlPr xmlns="http://schemas.microsoft.com/office/spreadsheetml/2009/9/main" objectType="Spin" dx="26" fmlaLink="$L26" max="55" min="18" page="10" val="18"/>
</file>

<file path=xl/ctrlProps/ctrlProp76.xml><?xml version="1.0" encoding="utf-8"?>
<formControlPr xmlns="http://schemas.microsoft.com/office/spreadsheetml/2009/9/main" objectType="Spin" dx="26" fmlaLink="K26" inc="5" max="30" page="10" val="0"/>
</file>

<file path=xl/ctrlProps/ctrlProp77.xml><?xml version="1.0" encoding="utf-8"?>
<formControlPr xmlns="http://schemas.microsoft.com/office/spreadsheetml/2009/9/main" objectType="Spin" dx="26" fmlaLink="$L$17" max="55" min="18" page="10" val="29"/>
</file>

<file path=xl/ctrlProps/ctrlProp78.xml><?xml version="1.0" encoding="utf-8"?>
<formControlPr xmlns="http://schemas.microsoft.com/office/spreadsheetml/2009/9/main" objectType="Spin" dx="26" fmlaLink="$L$17" max="55" min="18" page="10" val="29"/>
</file>

<file path=xl/ctrlProps/ctrlProp79.xml><?xml version="1.0" encoding="utf-8"?>
<formControlPr xmlns="http://schemas.microsoft.com/office/spreadsheetml/2009/9/main" objectType="Spin" dx="26" fmlaLink="$L27" max="55" min="18" page="10" val="18"/>
</file>

<file path=xl/ctrlProps/ctrlProp80.xml><?xml version="1.0" encoding="utf-8"?>
<formControlPr xmlns="http://schemas.microsoft.com/office/spreadsheetml/2009/9/main" objectType="Spin" dx="26" fmlaLink="K27" inc="5" max="30" page="10" val="0"/>
</file>

<file path=xl/ctrlProps/ctrlProp81.xml><?xml version="1.0" encoding="utf-8"?>
<formControlPr xmlns="http://schemas.microsoft.com/office/spreadsheetml/2009/9/main" objectType="Spin" dx="26" fmlaLink="K17" inc="5" max="30" page="10" val="0"/>
</file>

<file path=xl/ctrlProps/ctrlProp82.xml><?xml version="1.0" encoding="utf-8"?>
<formControlPr xmlns="http://schemas.microsoft.com/office/spreadsheetml/2009/9/main" objectType="Spin" dx="26" fmlaLink="K17" inc="5" max="30" page="10" val="0"/>
</file>

<file path=xl/ctrlProps/ctrlProp83.xml><?xml version="1.0" encoding="utf-8"?>
<formControlPr xmlns="http://schemas.microsoft.com/office/spreadsheetml/2009/9/main" objectType="Spin" dx="26" fmlaLink="K17" inc="5" max="30" page="10" val="0"/>
</file>

<file path=xl/ctrlProps/ctrlProp84.xml><?xml version="1.0" encoding="utf-8"?>
<formControlPr xmlns="http://schemas.microsoft.com/office/spreadsheetml/2009/9/main" objectType="Spin" dx="26" fmlaLink="K17" inc="5" max="30" page="10" val="0"/>
</file>

<file path=xl/ctrlProps/ctrlProp85.xml><?xml version="1.0" encoding="utf-8"?>
<formControlPr xmlns="http://schemas.microsoft.com/office/spreadsheetml/2009/9/main" objectType="Spin" dx="26" fmlaLink="K17" inc="5" max="30" page="10" val="0"/>
</file>

<file path=xl/ctrlProps/ctrlProp86.xml><?xml version="1.0" encoding="utf-8"?>
<formControlPr xmlns="http://schemas.microsoft.com/office/spreadsheetml/2009/9/main" objectType="Spin" dx="26" fmlaLink="K17" inc="5" max="30" page="10" val="0"/>
</file>

<file path=xl/ctrlProps/ctrlProp87.xml><?xml version="1.0" encoding="utf-8"?>
<formControlPr xmlns="http://schemas.microsoft.com/office/spreadsheetml/2009/9/main" objectType="Spin" dx="26" fmlaLink="K18" inc="5" max="30" page="10" val="0"/>
</file>

<file path=xl/ctrlProps/ctrlProp88.xml><?xml version="1.0" encoding="utf-8"?>
<formControlPr xmlns="http://schemas.microsoft.com/office/spreadsheetml/2009/9/main" objectType="Spin" dx="26" fmlaLink="K19" inc="5" max="30" page="10" val="0"/>
</file>

<file path=xl/ctrlProps/ctrlProp89.xml><?xml version="1.0" encoding="utf-8"?>
<formControlPr xmlns="http://schemas.microsoft.com/office/spreadsheetml/2009/9/main" objectType="Spin" dx="26" fmlaLink="K20" inc="5" max="30" page="10" val="0"/>
</file>

<file path=xl/ctrlProps/ctrlProp90.xml><?xml version="1.0" encoding="utf-8"?>
<formControlPr xmlns="http://schemas.microsoft.com/office/spreadsheetml/2009/9/main" objectType="Spin" dx="26" fmlaLink="K17" inc="5" max="30" page="10" val="0"/>
</file>

<file path=xl/ctrlProps/ctrlProp91.xml><?xml version="1.0" encoding="utf-8"?>
<formControlPr xmlns="http://schemas.microsoft.com/office/spreadsheetml/2009/9/main" objectType="Spin" dx="26" fmlaLink="K17" inc="5" max="30" page="10" val="0"/>
</file>

<file path=xl/ctrlProps/ctrlProp92.xml><?xml version="1.0" encoding="utf-8"?>
<formControlPr xmlns="http://schemas.microsoft.com/office/spreadsheetml/2009/9/main" objectType="Spin" dx="26" fmlaLink="K17" inc="5" max="30" page="10" val="0"/>
</file>

<file path=xl/ctrlProps/ctrlProp93.xml><?xml version="1.0" encoding="utf-8"?>
<formControlPr xmlns="http://schemas.microsoft.com/office/spreadsheetml/2009/9/main" objectType="Spin" dx="26" fmlaLink="$L17" max="55" min="18" page="10" val="29"/>
</file>

<file path=xl/ctrlProps/ctrlProp94.xml><?xml version="1.0" encoding="utf-8"?>
<formControlPr xmlns="http://schemas.microsoft.com/office/spreadsheetml/2009/9/main" objectType="Spin" dx="26" fmlaLink="$L17" max="55" min="18" page="10" val="29"/>
</file>

<file path=xl/ctrlProps/ctrlProp95.xml><?xml version="1.0" encoding="utf-8"?>
<formControlPr xmlns="http://schemas.microsoft.com/office/spreadsheetml/2009/9/main" objectType="Spin" dx="26" fmlaLink="$L17" max="55" min="18" page="10" val="29"/>
</file>

<file path=xl/ctrlProps/ctrlProp96.xml><?xml version="1.0" encoding="utf-8"?>
<formControlPr xmlns="http://schemas.microsoft.com/office/spreadsheetml/2009/9/main" objectType="Spin" dx="26" fmlaLink="$L17" max="55" min="18" page="10" val="29"/>
</file>

<file path=xl/ctrlProps/ctrlProp97.xml><?xml version="1.0" encoding="utf-8"?>
<formControlPr xmlns="http://schemas.microsoft.com/office/spreadsheetml/2009/9/main" objectType="Spin" dx="26" fmlaLink="$L17" max="55" min="18" page="10" val="29"/>
</file>

<file path=xl/ctrlProps/ctrlProp98.xml><?xml version="1.0" encoding="utf-8"?>
<formControlPr xmlns="http://schemas.microsoft.com/office/spreadsheetml/2009/9/main" objectType="Spin" dx="26" fmlaLink="$L17" max="55" min="18" page="10" val="29"/>
</file>

<file path=xl/ctrlProps/ctrlProp99.xml><?xml version="1.0" encoding="utf-8"?>
<formControlPr xmlns="http://schemas.microsoft.com/office/spreadsheetml/2009/9/main" objectType="Spin" dx="26" fmlaLink="K17" inc="5" max="30" page="10" val="0"/>
</file>

<file path=xl/ctrlProps/ctrlProp100.xml><?xml version="1.0" encoding="utf-8"?>
<formControlPr xmlns="http://schemas.microsoft.com/office/spreadsheetml/2009/9/main" objectType="Spin" dx="26" fmlaLink="K17" inc="5" max="30" page="10" val="0"/>
</file>

<file path=xl/ctrlProps/ctrlProp101.xml><?xml version="1.0" encoding="utf-8"?>
<formControlPr xmlns="http://schemas.microsoft.com/office/spreadsheetml/2009/9/main" objectType="Spin" dx="26" fmlaLink="K17" inc="5" max="30" page="10" val="0"/>
</file>

<file path=xl/ctrlProps/ctrlProp102.xml><?xml version="1.0" encoding="utf-8"?>
<formControlPr xmlns="http://schemas.microsoft.com/office/spreadsheetml/2009/9/main" objectType="Spin" dx="26" fmlaLink="K17" inc="5" max="30" page="10" val="0"/>
</file>

<file path=xl/ctrlProps/ctrlProp103.xml><?xml version="1.0" encoding="utf-8"?>
<formControlPr xmlns="http://schemas.microsoft.com/office/spreadsheetml/2009/9/main" objectType="Spin" dx="26" fmlaLink="K17" inc="5" max="30" page="10" val="0"/>
</file>

<file path=xl/ctrlProps/ctrlProp104.xml><?xml version="1.0" encoding="utf-8"?>
<formControlPr xmlns="http://schemas.microsoft.com/office/spreadsheetml/2009/9/main" objectType="Spin" dx="26" fmlaLink="K17" inc="5" max="30" page="10" val="0"/>
</file>

<file path=xl/ctrlProps/ctrlProp105.xml><?xml version="1.0" encoding="utf-8"?>
<formControlPr xmlns="http://schemas.microsoft.com/office/spreadsheetml/2009/9/main" objectType="Spin" dx="26" fmlaLink="K17" inc="5" max="30" page="10" val="0"/>
</file>

<file path=xl/ctrlProps/ctrlProp106.xml><?xml version="1.0" encoding="utf-8"?>
<formControlPr xmlns="http://schemas.microsoft.com/office/spreadsheetml/2009/9/main" objectType="Spin" dx="26" fmlaLink="K17" inc="5" max="30" page="10" val="0"/>
</file>

<file path=xl/ctrlProps/ctrlProp107.xml><?xml version="1.0" encoding="utf-8"?>
<formControlPr xmlns="http://schemas.microsoft.com/office/spreadsheetml/2009/9/main" objectType="Spin" dx="26" fmlaLink="K17" inc="5" max="30" page="10" val="0"/>
</file>

<file path=xl/ctrlProps/ctrlProp108.xml><?xml version="1.0" encoding="utf-8"?>
<formControlPr xmlns="http://schemas.microsoft.com/office/spreadsheetml/2009/9/main" objectType="Spin" dx="26" fmlaLink="K17" inc="5" max="30" page="10" val="0"/>
</file>

<file path=xl/ctrlProps/ctrlProp109.xml><?xml version="1.0" encoding="utf-8"?>
<formControlPr xmlns="http://schemas.microsoft.com/office/spreadsheetml/2009/9/main" objectType="Spin" dx="26" fmlaLink="K17" inc="5" max="30" page="10" val="0"/>
</file>

<file path=xl/ctrlProps/ctrlProp110.xml><?xml version="1.0" encoding="utf-8"?>
<formControlPr xmlns="http://schemas.microsoft.com/office/spreadsheetml/2009/9/main" objectType="Spin" dx="26" fmlaLink="K17" inc="5" max="30" page="10" val="0"/>
</file>

<file path=xl/ctrlProps/ctrlProp111.xml><?xml version="1.0" encoding="utf-8"?>
<formControlPr xmlns="http://schemas.microsoft.com/office/spreadsheetml/2009/9/main" objectType="Spin" dx="26" fmlaLink="$L$17" max="55" min="18" page="10" val="29"/>
</file>

<file path=xl/ctrlProps/ctrlProp112.xml><?xml version="1.0" encoding="utf-8"?>
<formControlPr xmlns="http://schemas.microsoft.com/office/spreadsheetml/2009/9/main" objectType="Spin" dx="26" fmlaLink="$L$17" max="55" min="18" page="10" val="29"/>
</file>

<file path=xl/ctrlProps/ctrlProp113.xml><?xml version="1.0" encoding="utf-8"?>
<formControlPr xmlns="http://schemas.microsoft.com/office/spreadsheetml/2009/9/main" objectType="Spin" dx="26" fmlaLink="$L20" max="55" min="18" page="10" val="18"/>
</file>

<file path=xl/ctrlProps/ctrlProp114.xml><?xml version="1.0" encoding="utf-8"?>
<formControlPr xmlns="http://schemas.microsoft.com/office/spreadsheetml/2009/9/main" objectType="Spin" dx="26" fmlaLink="K20" inc="5" max="30" page="10" val="0"/>
</file>

<file path=xl/ctrlProps/ctrlProp115.xml><?xml version="1.0" encoding="utf-8"?>
<formControlPr xmlns="http://schemas.microsoft.com/office/spreadsheetml/2009/9/main" objectType="Spin" dx="26" fmlaLink="K17" inc="5" max="30" page="10" val="0"/>
</file>

<file path=xl/ctrlProps/ctrlProp116.xml><?xml version="1.0" encoding="utf-8"?>
<formControlPr xmlns="http://schemas.microsoft.com/office/spreadsheetml/2009/9/main" objectType="Spin" dx="26" fmlaLink="K20" inc="5" max="30" page="10" val="0"/>
</file>

<file path=xl/ctrlProps/ctrlProp117.xml><?xml version="1.0" encoding="utf-8"?>
<formControlPr xmlns="http://schemas.microsoft.com/office/spreadsheetml/2009/9/main" objectType="Spin" dx="26" fmlaLink="$L17" max="55" min="18" page="10" val="29"/>
</file>

<file path=xl/ctrlProps/ctrlProp118.xml><?xml version="1.0" encoding="utf-8"?>
<formControlPr xmlns="http://schemas.microsoft.com/office/spreadsheetml/2009/9/main" objectType="Spin" dx="26" fmlaLink="K17" inc="5" max="30" page="10" val="0"/>
</file>

<file path=xl/ctrlProps/ctrlProp119.xml><?xml version="1.0" encoding="utf-8"?>
<formControlPr xmlns="http://schemas.microsoft.com/office/spreadsheetml/2009/9/main" objectType="Spin" dx="26" fmlaLink="K17" inc="5" max="30" page="10" val="0"/>
</file>

<file path=xl/ctrlProps/ctrlProp120.xml><?xml version="1.0" encoding="utf-8"?>
<formControlPr xmlns="http://schemas.microsoft.com/office/spreadsheetml/2009/9/main" objectType="Spin" dx="26" fmlaLink="$L$17" max="55" min="18" page="10" val="29"/>
</file>

<file path=xl/ctrlProps/ctrlProp121.xml><?xml version="1.0" encoding="utf-8"?>
<formControlPr xmlns="http://schemas.microsoft.com/office/spreadsheetml/2009/9/main" objectType="Spin" dx="26" fmlaLink="$L$17" max="55" min="18" page="10" val="29"/>
</file>

<file path=xl/ctrlProps/ctrlProp122.xml><?xml version="1.0" encoding="utf-8"?>
<formControlPr xmlns="http://schemas.microsoft.com/office/spreadsheetml/2009/9/main" objectType="Spin" dx="26" fmlaLink="$L20" max="55" min="18" page="10" val="18"/>
</file>

<file path=xl/ctrlProps/ctrlProp123.xml><?xml version="1.0" encoding="utf-8"?>
<formControlPr xmlns="http://schemas.microsoft.com/office/spreadsheetml/2009/9/main" objectType="Spin" dx="26" fmlaLink="K20" inc="5" max="30" page="10" val="0"/>
</file>

<file path=xl/ctrlProps/ctrlProp124.xml><?xml version="1.0" encoding="utf-8"?>
<formControlPr xmlns="http://schemas.microsoft.com/office/spreadsheetml/2009/9/main" objectType="Spin" dx="26" fmlaLink="K17" inc="5" max="30" page="10" val="0"/>
</file>

<file path=xl/ctrlProps/ctrlProp125.xml><?xml version="1.0" encoding="utf-8"?>
<formControlPr xmlns="http://schemas.microsoft.com/office/spreadsheetml/2009/9/main" objectType="Spin" dx="26" fmlaLink="K20" inc="5" max="30" page="10" val="0"/>
</file>

<file path=xl/ctrlProps/ctrlProp126.xml><?xml version="1.0" encoding="utf-8"?>
<formControlPr xmlns="http://schemas.microsoft.com/office/spreadsheetml/2009/9/main" objectType="Spin" dx="26" fmlaLink="$L17" max="55" min="18" page="10" val="29"/>
</file>

<file path=xl/ctrlProps/ctrlProp127.xml><?xml version="1.0" encoding="utf-8"?>
<formControlPr xmlns="http://schemas.microsoft.com/office/spreadsheetml/2009/9/main" objectType="Spin" dx="26" fmlaLink="K17" inc="5" max="30" page="10" val="0"/>
</file>

<file path=xl/ctrlProps/ctrlProp128.xml><?xml version="1.0" encoding="utf-8"?>
<formControlPr xmlns="http://schemas.microsoft.com/office/spreadsheetml/2009/9/main" objectType="Spin" dx="26" fmlaLink="K17" inc="5" max="30" page="10" val="0"/>
</file>

<file path=xl/ctrlProps/ctrlProp129.xml><?xml version="1.0" encoding="utf-8"?>
<formControlPr xmlns="http://schemas.microsoft.com/office/spreadsheetml/2009/9/main" objectType="Spin" dx="26" fmlaLink="$L$17" max="55" min="18" page="10" val="29"/>
</file>

<file path=xl/ctrlProps/ctrlProp130.xml><?xml version="1.0" encoding="utf-8"?>
<formControlPr xmlns="http://schemas.microsoft.com/office/spreadsheetml/2009/9/main" objectType="Spin" dx="26" fmlaLink="$L$17" max="55" min="18" page="10" val="29"/>
</file>

<file path=xl/ctrlProps/ctrlProp131.xml><?xml version="1.0" encoding="utf-8"?>
<formControlPr xmlns="http://schemas.microsoft.com/office/spreadsheetml/2009/9/main" objectType="Spin" dx="26" fmlaLink="$L20" max="55" min="18" page="10" val="18"/>
</file>

<file path=xl/ctrlProps/ctrlProp132.xml><?xml version="1.0" encoding="utf-8"?>
<formControlPr xmlns="http://schemas.microsoft.com/office/spreadsheetml/2009/9/main" objectType="Spin" dx="26" fmlaLink="K20" inc="5" max="30" page="10" val="0"/>
</file>

<file path=xl/ctrlProps/ctrlProp133.xml><?xml version="1.0" encoding="utf-8"?>
<formControlPr xmlns="http://schemas.microsoft.com/office/spreadsheetml/2009/9/main" objectType="Spin" dx="26" fmlaLink="K17" inc="5" max="30" page="10" val="0"/>
</file>

<file path=xl/ctrlProps/ctrlProp134.xml><?xml version="1.0" encoding="utf-8"?>
<formControlPr xmlns="http://schemas.microsoft.com/office/spreadsheetml/2009/9/main" objectType="Spin" dx="26" fmlaLink="K20" inc="5" max="30" page="10" val="0"/>
</file>

<file path=xl/ctrlProps/ctrlProp135.xml><?xml version="1.0" encoding="utf-8"?>
<formControlPr xmlns="http://schemas.microsoft.com/office/spreadsheetml/2009/9/main" objectType="Spin" dx="26" fmlaLink="$L17" max="55" min="18" page="10" val="29"/>
</file>

<file path=xl/ctrlProps/ctrlProp136.xml><?xml version="1.0" encoding="utf-8"?>
<formControlPr xmlns="http://schemas.microsoft.com/office/spreadsheetml/2009/9/main" objectType="Spin" dx="26" fmlaLink="K17" inc="5" max="30" page="10" val="0"/>
</file>

<file path=xl/ctrlProps/ctrlProp137.xml><?xml version="1.0" encoding="utf-8"?>
<formControlPr xmlns="http://schemas.microsoft.com/office/spreadsheetml/2009/9/main" objectType="Spin" dx="26" fmlaLink="K17" inc="5" max="30" page="10" val="0"/>
</file>

<file path=xl/ctrlProps/ctrlProp138.xml><?xml version="1.0" encoding="utf-8"?>
<formControlPr xmlns="http://schemas.microsoft.com/office/spreadsheetml/2009/9/main" objectType="Spin" dx="26" fmlaLink="$L$17" max="55" min="18" page="10" val="29"/>
</file>

<file path=xl/ctrlProps/ctrlProp139.xml><?xml version="1.0" encoding="utf-8"?>
<formControlPr xmlns="http://schemas.microsoft.com/office/spreadsheetml/2009/9/main" objectType="Spin" dx="26" fmlaLink="$L$17" max="55" min="18" page="10" val="29"/>
</file>

<file path=xl/ctrlProps/ctrlProp140.xml><?xml version="1.0" encoding="utf-8"?>
<formControlPr xmlns="http://schemas.microsoft.com/office/spreadsheetml/2009/9/main" objectType="Spin" dx="26" fmlaLink="$L20" max="55" min="18" page="10" val="18"/>
</file>

<file path=xl/ctrlProps/ctrlProp141.xml><?xml version="1.0" encoding="utf-8"?>
<formControlPr xmlns="http://schemas.microsoft.com/office/spreadsheetml/2009/9/main" objectType="Spin" dx="26" fmlaLink="K20" inc="5" max="30" page="10" val="0"/>
</file>

<file path=xl/ctrlProps/ctrlProp142.xml><?xml version="1.0" encoding="utf-8"?>
<formControlPr xmlns="http://schemas.microsoft.com/office/spreadsheetml/2009/9/main" objectType="Spin" dx="26" fmlaLink="K17" inc="5" max="30" page="10" val="0"/>
</file>

<file path=xl/ctrlProps/ctrlProp143.xml><?xml version="1.0" encoding="utf-8"?>
<formControlPr xmlns="http://schemas.microsoft.com/office/spreadsheetml/2009/9/main" objectType="Spin" dx="26" fmlaLink="K20" inc="5" max="30" page="10" val="0"/>
</file>

<file path=xl/ctrlProps/ctrlProp144.xml><?xml version="1.0" encoding="utf-8"?>
<formControlPr xmlns="http://schemas.microsoft.com/office/spreadsheetml/2009/9/main" objectType="Spin" dx="26" fmlaLink="$L17" max="55" min="18" page="10" val="29"/>
</file>

<file path=xl/ctrlProps/ctrlProp145.xml><?xml version="1.0" encoding="utf-8"?>
<formControlPr xmlns="http://schemas.microsoft.com/office/spreadsheetml/2009/9/main" objectType="Spin" dx="26" fmlaLink="K17" inc="5" max="30" page="10" val="0"/>
</file>

<file path=xl/ctrlProps/ctrlProp146.xml><?xml version="1.0" encoding="utf-8"?>
<formControlPr xmlns="http://schemas.microsoft.com/office/spreadsheetml/2009/9/main" objectType="Spin" dx="26" fmlaLink="K17" inc="5" max="30" page="10" val="0"/>
</file>

<file path=xl/ctrlProps/ctrlProp147.xml><?xml version="1.0" encoding="utf-8"?>
<formControlPr xmlns="http://schemas.microsoft.com/office/spreadsheetml/2009/9/main" objectType="Spin" dx="26" fmlaLink="$L$17" max="55" min="18" page="10" val="29"/>
</file>

<file path=xl/ctrlProps/ctrlProp148.xml><?xml version="1.0" encoding="utf-8"?>
<formControlPr xmlns="http://schemas.microsoft.com/office/spreadsheetml/2009/9/main" objectType="Spin" dx="26" fmlaLink="$L$17" max="55" min="18" page="10" val="29"/>
</file>

<file path=xl/ctrlProps/ctrlProp149.xml><?xml version="1.0" encoding="utf-8"?>
<formControlPr xmlns="http://schemas.microsoft.com/office/spreadsheetml/2009/9/main" objectType="Spin" dx="26" fmlaLink="$L27" max="55" min="18" page="10" val="18"/>
</file>

<file path=xl/ctrlProps/ctrlProp150.xml><?xml version="1.0" encoding="utf-8"?>
<formControlPr xmlns="http://schemas.microsoft.com/office/spreadsheetml/2009/9/main" objectType="Spin" dx="26" fmlaLink="K27" inc="5" max="30" page="10" val="0"/>
</file>

<file path=xl/ctrlProps/ctrlProp151.xml><?xml version="1.0" encoding="utf-8"?>
<formControlPr xmlns="http://schemas.microsoft.com/office/spreadsheetml/2009/9/main" objectType="Spin" dx="26" fmlaLink="K17" inc="5" max="30" page="10" val="0"/>
</file>

<file path=xl/ctrlProps/ctrlProp152.xml><?xml version="1.0" encoding="utf-8"?>
<formControlPr xmlns="http://schemas.microsoft.com/office/spreadsheetml/2009/9/main" objectType="Spin" dx="26" fmlaLink="K17" inc="5" max="30" page="10" val="0"/>
</file>

<file path=xl/ctrlProps/ctrlProp153.xml><?xml version="1.0" encoding="utf-8"?>
<formControlPr xmlns="http://schemas.microsoft.com/office/spreadsheetml/2009/9/main" objectType="Spin" dx="26" fmlaLink="$L17" max="55" min="18" page="10" val="29"/>
</file>

<file path=xl/ctrlProps/ctrlProp154.xml><?xml version="1.0" encoding="utf-8"?>
<formControlPr xmlns="http://schemas.microsoft.com/office/spreadsheetml/2009/9/main" objectType="Spin" dx="26" fmlaLink="K17" inc="5" max="30" page="10" val="0"/>
</file>

<file path=xl/ctrlProps/ctrlProp155.xml><?xml version="1.0" encoding="utf-8"?>
<formControlPr xmlns="http://schemas.microsoft.com/office/spreadsheetml/2009/9/main" objectType="Spin" dx="26" fmlaLink="K17" inc="5" max="30" page="10" val="0"/>
</file>

<file path=xl/ctrlProps/ctrlProp156.xml><?xml version="1.0" encoding="utf-8"?>
<formControlPr xmlns="http://schemas.microsoft.com/office/spreadsheetml/2009/9/main" objectType="Spin" dx="26" fmlaLink="K18" inc="5" max="30" page="10" val="0"/>
</file>

<file path=xl/ctrlProps/ctrlProp157.xml><?xml version="1.0" encoding="utf-8"?>
<formControlPr xmlns="http://schemas.microsoft.com/office/spreadsheetml/2009/9/main" objectType="Spin" dx="26" fmlaLink="K17" inc="5" max="30" page="10" val="0"/>
</file>

<file path=xl/ctrlProps/ctrlProp158.xml><?xml version="1.0" encoding="utf-8"?>
<formControlPr xmlns="http://schemas.microsoft.com/office/spreadsheetml/2009/9/main" objectType="Spin" dx="26" fmlaLink="K18" inc="5" max="30" page="10" val="0"/>
</file>

<file path=xl/ctrlProps/ctrlProp159.xml><?xml version="1.0" encoding="utf-8"?>
<formControlPr xmlns="http://schemas.microsoft.com/office/spreadsheetml/2009/9/main" objectType="Spin" dx="26" fmlaLink="K17" inc="5" max="30" page="10" val="0"/>
</file>

<file path=xl/ctrlProps/ctrlProp160.xml><?xml version="1.0" encoding="utf-8"?>
<formControlPr xmlns="http://schemas.microsoft.com/office/spreadsheetml/2009/9/main" objectType="Spin" dx="26" fmlaLink="K17" inc="5" max="30" page="10" val="0"/>
</file>

<file path=xl/ctrlProps/ctrlProp161.xml><?xml version="1.0" encoding="utf-8"?>
<formControlPr xmlns="http://schemas.microsoft.com/office/spreadsheetml/2009/9/main" objectType="Spin" dx="26" fmlaLink="K18" inc="5" max="30" page="10" val="0"/>
</file>

<file path=xl/ctrlProps/ctrlProp162.xml><?xml version="1.0" encoding="utf-8"?>
<formControlPr xmlns="http://schemas.microsoft.com/office/spreadsheetml/2009/9/main" objectType="Spin" dx="26" fmlaLink="K17" inc="5" max="30" page="10" val="0"/>
</file>

<file path=xl/ctrlProps/ctrlProp163.xml><?xml version="1.0" encoding="utf-8"?>
<formControlPr xmlns="http://schemas.microsoft.com/office/spreadsheetml/2009/9/main" objectType="Spin" dx="26" fmlaLink="K18" inc="5" max="30" page="10" val="0"/>
</file>

<file path=xl/ctrlProps/ctrlProp164.xml><?xml version="1.0" encoding="utf-8"?>
<formControlPr xmlns="http://schemas.microsoft.com/office/spreadsheetml/2009/9/main" objectType="Spin" dx="26" fmlaLink="K17" inc="5" max="30" page="10" val="0"/>
</file>

<file path=xl/ctrlProps/ctrlProp165.xml><?xml version="1.0" encoding="utf-8"?>
<formControlPr xmlns="http://schemas.microsoft.com/office/spreadsheetml/2009/9/main" objectType="Spin" dx="26" fmlaLink="K17" inc="5" max="30" page="10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167640</xdr:colOff>
          <xdr:row>0</xdr:row>
          <xdr:rowOff>45720</xdr:rowOff>
        </xdr:from>
        <xdr:to>
          <xdr:col>2</xdr:col>
          <xdr:colOff>1135380</xdr:colOff>
          <xdr:row>29</xdr:row>
          <xdr:rowOff>129540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GRAVAR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129887</xdr:colOff>
      <xdr:row>1</xdr:row>
      <xdr:rowOff>51952</xdr:rowOff>
    </xdr:from>
    <xdr:to>
      <xdr:col>1</xdr:col>
      <xdr:colOff>491664</xdr:colOff>
      <xdr:row>4</xdr:row>
      <xdr:rowOff>185924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87" y="311032"/>
          <a:ext cx="1055197" cy="70547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16</xdr:row>
          <xdr:rowOff>22860</xdr:rowOff>
        </xdr:from>
        <xdr:to>
          <xdr:col>11</xdr:col>
          <xdr:colOff>784860</xdr:colOff>
          <xdr:row>16</xdr:row>
          <xdr:rowOff>251460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17</xdr:row>
          <xdr:rowOff>22860</xdr:rowOff>
        </xdr:from>
        <xdr:to>
          <xdr:col>11</xdr:col>
          <xdr:colOff>784860</xdr:colOff>
          <xdr:row>17</xdr:row>
          <xdr:rowOff>251460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18</xdr:row>
          <xdr:rowOff>22860</xdr:rowOff>
        </xdr:from>
        <xdr:to>
          <xdr:col>11</xdr:col>
          <xdr:colOff>784860</xdr:colOff>
          <xdr:row>18</xdr:row>
          <xdr:rowOff>251460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19</xdr:row>
          <xdr:rowOff>22860</xdr:rowOff>
        </xdr:from>
        <xdr:to>
          <xdr:col>11</xdr:col>
          <xdr:colOff>784860</xdr:colOff>
          <xdr:row>19</xdr:row>
          <xdr:rowOff>251460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053" name="Spinner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17</xdr:row>
          <xdr:rowOff>22860</xdr:rowOff>
        </xdr:from>
        <xdr:to>
          <xdr:col>11</xdr:col>
          <xdr:colOff>784860</xdr:colOff>
          <xdr:row>17</xdr:row>
          <xdr:rowOff>251460</xdr:rowOff>
        </xdr:to>
        <xdr:sp macro="" textlink="">
          <xdr:nvSpPr>
            <xdr:cNvPr id="2054" name="Spinner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18</xdr:row>
          <xdr:rowOff>22860</xdr:rowOff>
        </xdr:from>
        <xdr:to>
          <xdr:col>11</xdr:col>
          <xdr:colOff>784860</xdr:colOff>
          <xdr:row>18</xdr:row>
          <xdr:rowOff>251460</xdr:rowOff>
        </xdr:to>
        <xdr:sp macro="" textlink="">
          <xdr:nvSpPr>
            <xdr:cNvPr id="2055" name="Spinner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19</xdr:row>
          <xdr:rowOff>22860</xdr:rowOff>
        </xdr:from>
        <xdr:to>
          <xdr:col>11</xdr:col>
          <xdr:colOff>784860</xdr:colOff>
          <xdr:row>19</xdr:row>
          <xdr:rowOff>251460</xdr:rowOff>
        </xdr:to>
        <xdr:sp macro="" textlink="">
          <xdr:nvSpPr>
            <xdr:cNvPr id="2056" name="Spinner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057" name="Spinner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17</xdr:row>
          <xdr:rowOff>22860</xdr:rowOff>
        </xdr:from>
        <xdr:to>
          <xdr:col>11</xdr:col>
          <xdr:colOff>784860</xdr:colOff>
          <xdr:row>17</xdr:row>
          <xdr:rowOff>251460</xdr:rowOff>
        </xdr:to>
        <xdr:sp macro="" textlink="">
          <xdr:nvSpPr>
            <xdr:cNvPr id="2058" name="Spinner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18</xdr:row>
          <xdr:rowOff>22860</xdr:rowOff>
        </xdr:from>
        <xdr:to>
          <xdr:col>11</xdr:col>
          <xdr:colOff>784860</xdr:colOff>
          <xdr:row>18</xdr:row>
          <xdr:rowOff>251460</xdr:rowOff>
        </xdr:to>
        <xdr:sp macro="" textlink="">
          <xdr:nvSpPr>
            <xdr:cNvPr id="2059" name="Spinner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17</xdr:row>
          <xdr:rowOff>22860</xdr:rowOff>
        </xdr:from>
        <xdr:to>
          <xdr:col>11</xdr:col>
          <xdr:colOff>784860</xdr:colOff>
          <xdr:row>17</xdr:row>
          <xdr:rowOff>251460</xdr:rowOff>
        </xdr:to>
        <xdr:sp macro="" textlink="">
          <xdr:nvSpPr>
            <xdr:cNvPr id="2060" name="Spinner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18</xdr:row>
          <xdr:rowOff>22860</xdr:rowOff>
        </xdr:from>
        <xdr:to>
          <xdr:col>11</xdr:col>
          <xdr:colOff>784860</xdr:colOff>
          <xdr:row>18</xdr:row>
          <xdr:rowOff>251460</xdr:rowOff>
        </xdr:to>
        <xdr:sp macro="" textlink="">
          <xdr:nvSpPr>
            <xdr:cNvPr id="2061" name="Spinner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19</xdr:row>
          <xdr:rowOff>22860</xdr:rowOff>
        </xdr:from>
        <xdr:to>
          <xdr:col>11</xdr:col>
          <xdr:colOff>784860</xdr:colOff>
          <xdr:row>19</xdr:row>
          <xdr:rowOff>251460</xdr:rowOff>
        </xdr:to>
        <xdr:sp macro="" textlink="">
          <xdr:nvSpPr>
            <xdr:cNvPr id="2062" name="Spinner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063" name="Spinner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064" name="Spinner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17</xdr:row>
          <xdr:rowOff>7620</xdr:rowOff>
        </xdr:from>
        <xdr:to>
          <xdr:col>10</xdr:col>
          <xdr:colOff>1295400</xdr:colOff>
          <xdr:row>17</xdr:row>
          <xdr:rowOff>236220</xdr:rowOff>
        </xdr:to>
        <xdr:sp macro="" textlink="">
          <xdr:nvSpPr>
            <xdr:cNvPr id="2065" name="Spinner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18</xdr:row>
          <xdr:rowOff>7620</xdr:rowOff>
        </xdr:from>
        <xdr:to>
          <xdr:col>10</xdr:col>
          <xdr:colOff>1295400</xdr:colOff>
          <xdr:row>18</xdr:row>
          <xdr:rowOff>236220</xdr:rowOff>
        </xdr:to>
        <xdr:sp macro="" textlink="">
          <xdr:nvSpPr>
            <xdr:cNvPr id="2066" name="Spinner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19</xdr:row>
          <xdr:rowOff>7620</xdr:rowOff>
        </xdr:from>
        <xdr:to>
          <xdr:col>10</xdr:col>
          <xdr:colOff>1295400</xdr:colOff>
          <xdr:row>19</xdr:row>
          <xdr:rowOff>236220</xdr:rowOff>
        </xdr:to>
        <xdr:sp macro="" textlink="">
          <xdr:nvSpPr>
            <xdr:cNvPr id="2067" name="Spinner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068" name="Spinner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29</xdr:row>
          <xdr:rowOff>175260</xdr:rowOff>
        </xdr:from>
        <xdr:to>
          <xdr:col>2</xdr:col>
          <xdr:colOff>350520</xdr:colOff>
          <xdr:row>31</xdr:row>
          <xdr:rowOff>22860</xdr:rowOff>
        </xdr:to>
        <xdr:sp macro="" textlink="">
          <xdr:nvSpPr>
            <xdr:cNvPr id="2069" name="Option Butto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FM200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30</xdr:row>
          <xdr:rowOff>175260</xdr:rowOff>
        </xdr:from>
        <xdr:to>
          <xdr:col>1</xdr:col>
          <xdr:colOff>289560</xdr:colOff>
          <xdr:row>32</xdr:row>
          <xdr:rowOff>22860</xdr:rowOff>
        </xdr:to>
        <xdr:sp macro="" textlink="">
          <xdr:nvSpPr>
            <xdr:cNvPr id="2070" name="Option Button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Novec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144780</xdr:colOff>
          <xdr:row>32</xdr:row>
          <xdr:rowOff>0</xdr:rowOff>
        </xdr:from>
        <xdr:to>
          <xdr:col>1</xdr:col>
          <xdr:colOff>99060</xdr:colOff>
          <xdr:row>33</xdr:row>
          <xdr:rowOff>30480</xdr:rowOff>
        </xdr:to>
        <xdr:sp macro="" textlink="">
          <xdr:nvSpPr>
            <xdr:cNvPr id="2071" name="Option Button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FirePro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144780</xdr:colOff>
          <xdr:row>32</xdr:row>
          <xdr:rowOff>198120</xdr:rowOff>
        </xdr:from>
        <xdr:to>
          <xdr:col>2</xdr:col>
          <xdr:colOff>312420</xdr:colOff>
          <xdr:row>34</xdr:row>
          <xdr:rowOff>22860</xdr:rowOff>
        </xdr:to>
        <xdr:sp macro="" textlink="">
          <xdr:nvSpPr>
            <xdr:cNvPr id="2072" name="Option Button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Manual/Somente Detecção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29</xdr:row>
          <xdr:rowOff>22860</xdr:rowOff>
        </xdr:from>
        <xdr:to>
          <xdr:col>2</xdr:col>
          <xdr:colOff>769620</xdr:colOff>
          <xdr:row>35</xdr:row>
          <xdr:rowOff>152400</xdr:rowOff>
        </xdr:to>
        <xdr:sp macro="" textlink="">
          <xdr:nvSpPr>
            <xdr:cNvPr id="2073" name="Group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Combate a Incêndio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144780</xdr:colOff>
          <xdr:row>33</xdr:row>
          <xdr:rowOff>213360</xdr:rowOff>
        </xdr:from>
        <xdr:to>
          <xdr:col>1</xdr:col>
          <xdr:colOff>106680</xdr:colOff>
          <xdr:row>35</xdr:row>
          <xdr:rowOff>7620</xdr:rowOff>
        </xdr:to>
        <xdr:sp macro="" textlink="">
          <xdr:nvSpPr>
            <xdr:cNvPr id="2074" name="Option Button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Outro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29</xdr:row>
          <xdr:rowOff>160020</xdr:rowOff>
        </xdr:from>
        <xdr:to>
          <xdr:col>6</xdr:col>
          <xdr:colOff>327660</xdr:colOff>
          <xdr:row>31</xdr:row>
          <xdr:rowOff>22860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Ambiente com poeira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30</xdr:row>
          <xdr:rowOff>175260</xdr:rowOff>
        </xdr:from>
        <xdr:to>
          <xdr:col>6</xdr:col>
          <xdr:colOff>213360</xdr:colOff>
          <xdr:row>32</xdr:row>
          <xdr:rowOff>30480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Ambiente salino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31</xdr:row>
          <xdr:rowOff>175260</xdr:rowOff>
        </xdr:from>
        <xdr:to>
          <xdr:col>6</xdr:col>
          <xdr:colOff>213360</xdr:colOff>
          <xdr:row>33</xdr:row>
          <xdr:rowOff>30480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Gases corrosivos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32</xdr:row>
          <xdr:rowOff>175260</xdr:rowOff>
        </xdr:from>
        <xdr:to>
          <xdr:col>6</xdr:col>
          <xdr:colOff>441960</xdr:colOff>
          <xdr:row>34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Gases hidrocarbonetos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29</xdr:row>
          <xdr:rowOff>30480</xdr:rowOff>
        </xdr:from>
        <xdr:to>
          <xdr:col>7</xdr:col>
          <xdr:colOff>0</xdr:colOff>
          <xdr:row>35</xdr:row>
          <xdr:rowOff>160020</xdr:rowOff>
        </xdr:to>
        <xdr:sp macro="" textlink="">
          <xdr:nvSpPr>
            <xdr:cNvPr id="2079" name="Group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Características do Ambiente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29</xdr:row>
          <xdr:rowOff>30480</xdr:rowOff>
        </xdr:from>
        <xdr:to>
          <xdr:col>5</xdr:col>
          <xdr:colOff>0</xdr:colOff>
          <xdr:row>35</xdr:row>
          <xdr:rowOff>160020</xdr:rowOff>
        </xdr:to>
        <xdr:sp macro="" textlink="">
          <xdr:nvSpPr>
            <xdr:cNvPr id="2080" name="Group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Dampers Corta Fogo?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29</xdr:row>
          <xdr:rowOff>152400</xdr:rowOff>
        </xdr:from>
        <xdr:to>
          <xdr:col>4</xdr:col>
          <xdr:colOff>76200</xdr:colOff>
          <xdr:row>31</xdr:row>
          <xdr:rowOff>38100</xdr:rowOff>
        </xdr:to>
        <xdr:sp macro="" textlink="">
          <xdr:nvSpPr>
            <xdr:cNvPr id="2081" name="Option Button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90 min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30</xdr:row>
          <xdr:rowOff>160020</xdr:rowOff>
        </xdr:from>
        <xdr:to>
          <xdr:col>4</xdr:col>
          <xdr:colOff>99060</xdr:colOff>
          <xdr:row>32</xdr:row>
          <xdr:rowOff>45720</xdr:rowOff>
        </xdr:to>
        <xdr:sp macro="" textlink="">
          <xdr:nvSpPr>
            <xdr:cNvPr id="2082" name="Option Button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120 min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31</xdr:row>
          <xdr:rowOff>160020</xdr:rowOff>
        </xdr:from>
        <xdr:to>
          <xdr:col>4</xdr:col>
          <xdr:colOff>83820</xdr:colOff>
          <xdr:row>33</xdr:row>
          <xdr:rowOff>45720</xdr:rowOff>
        </xdr:to>
        <xdr:sp macro="" textlink="">
          <xdr:nvSpPr>
            <xdr:cNvPr id="2083" name="Option Button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29</xdr:row>
          <xdr:rowOff>175260</xdr:rowOff>
        </xdr:from>
        <xdr:to>
          <xdr:col>8</xdr:col>
          <xdr:colOff>160020</xdr:colOff>
          <xdr:row>31</xdr:row>
          <xdr:rowOff>22860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Wall Mounted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30</xdr:row>
          <xdr:rowOff>160020</xdr:rowOff>
        </xdr:from>
        <xdr:to>
          <xdr:col>8</xdr:col>
          <xdr:colOff>594360</xdr:colOff>
          <xdr:row>32</xdr:row>
          <xdr:rowOff>22860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Self Contained Remoto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31</xdr:row>
          <xdr:rowOff>175260</xdr:rowOff>
        </xdr:from>
        <xdr:to>
          <xdr:col>7</xdr:col>
          <xdr:colOff>762000</xdr:colOff>
          <xdr:row>33</xdr:row>
          <xdr:rowOff>30480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Rooftop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32</xdr:row>
          <xdr:rowOff>175260</xdr:rowOff>
        </xdr:from>
        <xdr:to>
          <xdr:col>8</xdr:col>
          <xdr:colOff>30480</xdr:colOff>
          <xdr:row>34</xdr:row>
          <xdr:rowOff>22860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Split Padrão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29</xdr:row>
          <xdr:rowOff>38100</xdr:rowOff>
        </xdr:from>
        <xdr:to>
          <xdr:col>9</xdr:col>
          <xdr:colOff>0</xdr:colOff>
          <xdr:row>35</xdr:row>
          <xdr:rowOff>175260</xdr:rowOff>
        </xdr:to>
        <xdr:sp macro="" textlink="">
          <xdr:nvSpPr>
            <xdr:cNvPr id="2088" name="Group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Sistemas Permitidos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29</xdr:row>
          <xdr:rowOff>38100</xdr:rowOff>
        </xdr:from>
        <xdr:to>
          <xdr:col>12</xdr:col>
          <xdr:colOff>0</xdr:colOff>
          <xdr:row>35</xdr:row>
          <xdr:rowOff>175260</xdr:rowOff>
        </xdr:to>
        <xdr:sp macro="" textlink="">
          <xdr:nvSpPr>
            <xdr:cNvPr id="2089" name="Group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Sinais e Alarmes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29</xdr:row>
          <xdr:rowOff>175260</xdr:rowOff>
        </xdr:from>
        <xdr:to>
          <xdr:col>11</xdr:col>
          <xdr:colOff>76200</xdr:colOff>
          <xdr:row>31</xdr:row>
          <xdr:rowOff>22860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Alarme de temperatura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30</xdr:row>
          <xdr:rowOff>160020</xdr:rowOff>
        </xdr:from>
        <xdr:to>
          <xdr:col>11</xdr:col>
          <xdr:colOff>137160</xdr:colOff>
          <xdr:row>32</xdr:row>
          <xdr:rowOff>22860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Sinal defeito/funcionando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31</xdr:row>
          <xdr:rowOff>175260</xdr:rowOff>
        </xdr:from>
        <xdr:to>
          <xdr:col>11</xdr:col>
          <xdr:colOff>297180</xdr:colOff>
          <xdr:row>33</xdr:row>
          <xdr:rowOff>30480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Alarme de queda de pressão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32</xdr:row>
          <xdr:rowOff>175260</xdr:rowOff>
        </xdr:from>
        <xdr:to>
          <xdr:col>10</xdr:col>
          <xdr:colOff>1257300</xdr:colOff>
          <xdr:row>34</xdr:row>
          <xdr:rowOff>22860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Alarme de filtro sujo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37</xdr:row>
          <xdr:rowOff>175260</xdr:rowOff>
        </xdr:from>
        <xdr:to>
          <xdr:col>2</xdr:col>
          <xdr:colOff>617220</xdr:colOff>
          <xdr:row>39</xdr:row>
          <xdr:rowOff>22860</xdr:rowOff>
        </xdr:to>
        <xdr:sp macro="" textlink="">
          <xdr:nvSpPr>
            <xdr:cNvPr id="2094" name="Option Button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Definido pela empresa contratada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38</xdr:row>
          <xdr:rowOff>175260</xdr:rowOff>
        </xdr:from>
        <xdr:to>
          <xdr:col>1</xdr:col>
          <xdr:colOff>289560</xdr:colOff>
          <xdr:row>40</xdr:row>
          <xdr:rowOff>22860</xdr:rowOff>
        </xdr:to>
        <xdr:sp macro="" textlink="">
          <xdr:nvSpPr>
            <xdr:cNvPr id="2095" name="Option Button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Sistema Padrão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144780</xdr:colOff>
          <xdr:row>40</xdr:row>
          <xdr:rowOff>0</xdr:rowOff>
        </xdr:from>
        <xdr:to>
          <xdr:col>2</xdr:col>
          <xdr:colOff>678180</xdr:colOff>
          <xdr:row>41</xdr:row>
          <xdr:rowOff>30480</xdr:rowOff>
        </xdr:to>
        <xdr:sp macro="" textlink="">
          <xdr:nvSpPr>
            <xdr:cNvPr id="2096" name="Option Button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 limpeza automática do filtro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37</xdr:row>
          <xdr:rowOff>22860</xdr:rowOff>
        </xdr:from>
        <xdr:to>
          <xdr:col>2</xdr:col>
          <xdr:colOff>769620</xdr:colOff>
          <xdr:row>43</xdr:row>
          <xdr:rowOff>76200</xdr:rowOff>
        </xdr:to>
        <xdr:sp macro="" textlink="">
          <xdr:nvSpPr>
            <xdr:cNvPr id="2097" name="Group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Sistema de Pressurização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37</xdr:row>
          <xdr:rowOff>30480</xdr:rowOff>
        </xdr:from>
        <xdr:to>
          <xdr:col>7</xdr:col>
          <xdr:colOff>0</xdr:colOff>
          <xdr:row>43</xdr:row>
          <xdr:rowOff>91440</xdr:rowOff>
        </xdr:to>
        <xdr:sp macro="" textlink="">
          <xdr:nvSpPr>
            <xdr:cNvPr id="2098" name="Group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 caso de painel embarcado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37</xdr:row>
          <xdr:rowOff>30480</xdr:rowOff>
        </xdr:from>
        <xdr:to>
          <xdr:col>5</xdr:col>
          <xdr:colOff>0</xdr:colOff>
          <xdr:row>43</xdr:row>
          <xdr:rowOff>91440</xdr:rowOff>
        </xdr:to>
        <xdr:sp macro="" textlink="">
          <xdr:nvSpPr>
            <xdr:cNvPr id="2099" name="Group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Automação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37</xdr:row>
          <xdr:rowOff>152400</xdr:rowOff>
        </xdr:from>
        <xdr:to>
          <xdr:col>4</xdr:col>
          <xdr:colOff>746760</xdr:colOff>
          <xdr:row>39</xdr:row>
          <xdr:rowOff>15240</xdr:rowOff>
        </xdr:to>
        <xdr:sp macro="" textlink="">
          <xdr:nvSpPr>
            <xdr:cNvPr id="2100" name="Option Button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Somente Contato Seco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38</xdr:row>
          <xdr:rowOff>160020</xdr:rowOff>
        </xdr:from>
        <xdr:to>
          <xdr:col>4</xdr:col>
          <xdr:colOff>99060</xdr:colOff>
          <xdr:row>40</xdr:row>
          <xdr:rowOff>45720</xdr:rowOff>
        </xdr:to>
        <xdr:sp macro="" textlink="">
          <xdr:nvSpPr>
            <xdr:cNvPr id="2101" name="Option Button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Modbus TCP/IP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39</xdr:row>
          <xdr:rowOff>160020</xdr:rowOff>
        </xdr:from>
        <xdr:to>
          <xdr:col>4</xdr:col>
          <xdr:colOff>83820</xdr:colOff>
          <xdr:row>41</xdr:row>
          <xdr:rowOff>45720</xdr:rowOff>
        </xdr:to>
        <xdr:sp macro="" textlink="">
          <xdr:nvSpPr>
            <xdr:cNvPr id="2102" name="Option Button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37</xdr:row>
          <xdr:rowOff>175260</xdr:rowOff>
        </xdr:from>
        <xdr:to>
          <xdr:col>8</xdr:col>
          <xdr:colOff>160020</xdr:colOff>
          <xdr:row>39</xdr:row>
          <xdr:rowOff>22860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Wall Mounted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38</xdr:row>
          <xdr:rowOff>160020</xdr:rowOff>
        </xdr:from>
        <xdr:to>
          <xdr:col>8</xdr:col>
          <xdr:colOff>594360</xdr:colOff>
          <xdr:row>40</xdr:row>
          <xdr:rowOff>22860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Self Contained Remoto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39</xdr:row>
          <xdr:rowOff>175260</xdr:rowOff>
        </xdr:from>
        <xdr:to>
          <xdr:col>7</xdr:col>
          <xdr:colOff>762000</xdr:colOff>
          <xdr:row>41</xdr:row>
          <xdr:rowOff>30480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Rooftop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40</xdr:row>
          <xdr:rowOff>175260</xdr:rowOff>
        </xdr:from>
        <xdr:to>
          <xdr:col>8</xdr:col>
          <xdr:colOff>30480</xdr:colOff>
          <xdr:row>42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Split Padrão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37</xdr:row>
          <xdr:rowOff>38100</xdr:rowOff>
        </xdr:from>
        <xdr:to>
          <xdr:col>9</xdr:col>
          <xdr:colOff>0</xdr:colOff>
          <xdr:row>43</xdr:row>
          <xdr:rowOff>99060</xdr:rowOff>
        </xdr:to>
        <xdr:sp macro="" textlink="">
          <xdr:nvSpPr>
            <xdr:cNvPr id="2107" name="Group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Sistemas Permitidos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37</xdr:row>
          <xdr:rowOff>38100</xdr:rowOff>
        </xdr:from>
        <xdr:to>
          <xdr:col>12</xdr:col>
          <xdr:colOff>0</xdr:colOff>
          <xdr:row>43</xdr:row>
          <xdr:rowOff>91440</xdr:rowOff>
        </xdr:to>
        <xdr:sp macro="" textlink="">
          <xdr:nvSpPr>
            <xdr:cNvPr id="2108" name="Group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7432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Sinais e Alarmes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37</xdr:row>
          <xdr:rowOff>175260</xdr:rowOff>
        </xdr:from>
        <xdr:to>
          <xdr:col>11</xdr:col>
          <xdr:colOff>76200</xdr:colOff>
          <xdr:row>39</xdr:row>
          <xdr:rowOff>22860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Alarme de temperatura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38</xdr:row>
          <xdr:rowOff>160020</xdr:rowOff>
        </xdr:from>
        <xdr:to>
          <xdr:col>11</xdr:col>
          <xdr:colOff>137160</xdr:colOff>
          <xdr:row>40</xdr:row>
          <xdr:rowOff>22860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Sinal defeito/funcionando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39</xdr:row>
          <xdr:rowOff>175260</xdr:rowOff>
        </xdr:from>
        <xdr:to>
          <xdr:col>11</xdr:col>
          <xdr:colOff>297180</xdr:colOff>
          <xdr:row>41</xdr:row>
          <xdr:rowOff>30480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Alarme de queda de pressão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</xdr:colOff>
          <xdr:row>40</xdr:row>
          <xdr:rowOff>175260</xdr:rowOff>
        </xdr:from>
        <xdr:to>
          <xdr:col>10</xdr:col>
          <xdr:colOff>1257300</xdr:colOff>
          <xdr:row>42</xdr:row>
          <xdr:rowOff>22860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Alarme de filtro sujo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175260</xdr:colOff>
          <xdr:row>40</xdr:row>
          <xdr:rowOff>160020</xdr:rowOff>
        </xdr:from>
        <xdr:to>
          <xdr:col>2</xdr:col>
          <xdr:colOff>769620</xdr:colOff>
          <xdr:row>42</xdr:row>
          <xdr:rowOff>22860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Sensor diferencial de pressão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41</xdr:row>
          <xdr:rowOff>160020</xdr:rowOff>
        </xdr:from>
        <xdr:to>
          <xdr:col>2</xdr:col>
          <xdr:colOff>541020</xdr:colOff>
          <xdr:row>43</xdr:row>
          <xdr:rowOff>22860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Sinal de falha do pressurizador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99060</xdr:colOff>
          <xdr:row>37</xdr:row>
          <xdr:rowOff>152400</xdr:rowOff>
        </xdr:from>
        <xdr:to>
          <xdr:col>6</xdr:col>
          <xdr:colOff>632460</xdr:colOff>
          <xdr:row>39</xdr:row>
          <xdr:rowOff>15240</xdr:rowOff>
        </xdr:to>
        <xdr:sp macro="" textlink="">
          <xdr:nvSpPr>
            <xdr:cNvPr id="2115" name="Option Button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Painel com acesso interno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38</xdr:row>
          <xdr:rowOff>160020</xdr:rowOff>
        </xdr:from>
        <xdr:to>
          <xdr:col>5</xdr:col>
          <xdr:colOff>899160</xdr:colOff>
          <xdr:row>40</xdr:row>
          <xdr:rowOff>45720</xdr:rowOff>
        </xdr:to>
        <xdr:sp macro="" textlink="">
          <xdr:nvSpPr>
            <xdr:cNvPr id="2116" name="Option Button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Painel externo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106680</xdr:colOff>
          <xdr:row>39</xdr:row>
          <xdr:rowOff>160020</xdr:rowOff>
        </xdr:from>
        <xdr:to>
          <xdr:col>5</xdr:col>
          <xdr:colOff>899160</xdr:colOff>
          <xdr:row>41</xdr:row>
          <xdr:rowOff>45720</xdr:rowOff>
        </xdr:to>
        <xdr:sp macro="" textlink="">
          <xdr:nvSpPr>
            <xdr:cNvPr id="2117" name="Option Button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N/A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12</xdr:row>
          <xdr:rowOff>30480</xdr:rowOff>
        </xdr:from>
        <xdr:to>
          <xdr:col>1</xdr:col>
          <xdr:colOff>213360</xdr:colOff>
          <xdr:row>12</xdr:row>
          <xdr:rowOff>160020</xdr:rowOff>
        </xdr:to>
        <xdr:sp macro="" textlink="">
          <xdr:nvSpPr>
            <xdr:cNvPr id="2118" name="Option Button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Eletrocentro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12</xdr:row>
          <xdr:rowOff>182880</xdr:rowOff>
        </xdr:from>
        <xdr:to>
          <xdr:col>1</xdr:col>
          <xdr:colOff>228600</xdr:colOff>
          <xdr:row>14</xdr:row>
          <xdr:rowOff>22860</xdr:rowOff>
        </xdr:to>
        <xdr:sp macro="" textlink="">
          <xdr:nvSpPr>
            <xdr:cNvPr id="2119" name="Option Button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Alvenaria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24</xdr:row>
          <xdr:rowOff>22860</xdr:rowOff>
        </xdr:from>
        <xdr:to>
          <xdr:col>11</xdr:col>
          <xdr:colOff>784860</xdr:colOff>
          <xdr:row>24</xdr:row>
          <xdr:rowOff>251460</xdr:rowOff>
        </xdr:to>
        <xdr:sp macro="" textlink="">
          <xdr:nvSpPr>
            <xdr:cNvPr id="2120" name="Spinner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24</xdr:row>
          <xdr:rowOff>22860</xdr:rowOff>
        </xdr:from>
        <xdr:to>
          <xdr:col>11</xdr:col>
          <xdr:colOff>784860</xdr:colOff>
          <xdr:row>24</xdr:row>
          <xdr:rowOff>251460</xdr:rowOff>
        </xdr:to>
        <xdr:sp macro="" textlink="">
          <xdr:nvSpPr>
            <xdr:cNvPr id="2121" name="Spinner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24</xdr:row>
          <xdr:rowOff>22860</xdr:rowOff>
        </xdr:from>
        <xdr:to>
          <xdr:col>11</xdr:col>
          <xdr:colOff>784860</xdr:colOff>
          <xdr:row>24</xdr:row>
          <xdr:rowOff>251460</xdr:rowOff>
        </xdr:to>
        <xdr:sp macro="" textlink="">
          <xdr:nvSpPr>
            <xdr:cNvPr id="2122" name="Spinner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24</xdr:row>
          <xdr:rowOff>7620</xdr:rowOff>
        </xdr:from>
        <xdr:to>
          <xdr:col>10</xdr:col>
          <xdr:colOff>1295400</xdr:colOff>
          <xdr:row>24</xdr:row>
          <xdr:rowOff>236220</xdr:rowOff>
        </xdr:to>
        <xdr:sp macro="" textlink="">
          <xdr:nvSpPr>
            <xdr:cNvPr id="2123" name="Spinner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25</xdr:row>
          <xdr:rowOff>22860</xdr:rowOff>
        </xdr:from>
        <xdr:to>
          <xdr:col>11</xdr:col>
          <xdr:colOff>784860</xdr:colOff>
          <xdr:row>25</xdr:row>
          <xdr:rowOff>251460</xdr:rowOff>
        </xdr:to>
        <xdr:sp macro="" textlink="">
          <xdr:nvSpPr>
            <xdr:cNvPr id="2124" name="Spinner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25</xdr:row>
          <xdr:rowOff>22860</xdr:rowOff>
        </xdr:from>
        <xdr:to>
          <xdr:col>11</xdr:col>
          <xdr:colOff>784860</xdr:colOff>
          <xdr:row>25</xdr:row>
          <xdr:rowOff>251460</xdr:rowOff>
        </xdr:to>
        <xdr:sp macro="" textlink="">
          <xdr:nvSpPr>
            <xdr:cNvPr id="2125" name="Spinner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25</xdr:row>
          <xdr:rowOff>22860</xdr:rowOff>
        </xdr:from>
        <xdr:to>
          <xdr:col>11</xdr:col>
          <xdr:colOff>784860</xdr:colOff>
          <xdr:row>25</xdr:row>
          <xdr:rowOff>251460</xdr:rowOff>
        </xdr:to>
        <xdr:sp macro="" textlink="">
          <xdr:nvSpPr>
            <xdr:cNvPr id="2126" name="Spinner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25</xdr:row>
          <xdr:rowOff>7620</xdr:rowOff>
        </xdr:from>
        <xdr:to>
          <xdr:col>10</xdr:col>
          <xdr:colOff>1295400</xdr:colOff>
          <xdr:row>25</xdr:row>
          <xdr:rowOff>236220</xdr:rowOff>
        </xdr:to>
        <xdr:sp macro="" textlink="">
          <xdr:nvSpPr>
            <xdr:cNvPr id="2127" name="Spinner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17</xdr:row>
          <xdr:rowOff>7620</xdr:rowOff>
        </xdr:from>
        <xdr:to>
          <xdr:col>10</xdr:col>
          <xdr:colOff>1295400</xdr:colOff>
          <xdr:row>17</xdr:row>
          <xdr:rowOff>236220</xdr:rowOff>
        </xdr:to>
        <xdr:sp macro="" textlink="">
          <xdr:nvSpPr>
            <xdr:cNvPr id="2128" name="Spinner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18</xdr:row>
          <xdr:rowOff>7620</xdr:rowOff>
        </xdr:from>
        <xdr:to>
          <xdr:col>10</xdr:col>
          <xdr:colOff>1295400</xdr:colOff>
          <xdr:row>18</xdr:row>
          <xdr:rowOff>236220</xdr:rowOff>
        </xdr:to>
        <xdr:sp macro="" textlink="">
          <xdr:nvSpPr>
            <xdr:cNvPr id="2129" name="Spinner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19</xdr:row>
          <xdr:rowOff>7620</xdr:rowOff>
        </xdr:from>
        <xdr:to>
          <xdr:col>10</xdr:col>
          <xdr:colOff>1295400</xdr:colOff>
          <xdr:row>19</xdr:row>
          <xdr:rowOff>236220</xdr:rowOff>
        </xdr:to>
        <xdr:sp macro="" textlink="">
          <xdr:nvSpPr>
            <xdr:cNvPr id="2130" name="Spinner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31" name="Spinner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24</xdr:row>
          <xdr:rowOff>7620</xdr:rowOff>
        </xdr:from>
        <xdr:to>
          <xdr:col>10</xdr:col>
          <xdr:colOff>1295400</xdr:colOff>
          <xdr:row>24</xdr:row>
          <xdr:rowOff>236220</xdr:rowOff>
        </xdr:to>
        <xdr:sp macro="" textlink="">
          <xdr:nvSpPr>
            <xdr:cNvPr id="2132" name="Spinner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25</xdr:row>
          <xdr:rowOff>7620</xdr:rowOff>
        </xdr:from>
        <xdr:to>
          <xdr:col>10</xdr:col>
          <xdr:colOff>1295400</xdr:colOff>
          <xdr:row>25</xdr:row>
          <xdr:rowOff>236220</xdr:rowOff>
        </xdr:to>
        <xdr:sp macro="" textlink="">
          <xdr:nvSpPr>
            <xdr:cNvPr id="2133" name="Spinner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17</xdr:row>
          <xdr:rowOff>7620</xdr:rowOff>
        </xdr:from>
        <xdr:to>
          <xdr:col>10</xdr:col>
          <xdr:colOff>1295400</xdr:colOff>
          <xdr:row>17</xdr:row>
          <xdr:rowOff>236220</xdr:rowOff>
        </xdr:to>
        <xdr:sp macro="" textlink="">
          <xdr:nvSpPr>
            <xdr:cNvPr id="2134" name="Spinner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18</xdr:row>
          <xdr:rowOff>7620</xdr:rowOff>
        </xdr:from>
        <xdr:to>
          <xdr:col>10</xdr:col>
          <xdr:colOff>1295400</xdr:colOff>
          <xdr:row>18</xdr:row>
          <xdr:rowOff>236220</xdr:rowOff>
        </xdr:to>
        <xdr:sp macro="" textlink="">
          <xdr:nvSpPr>
            <xdr:cNvPr id="2135" name="Spinner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19</xdr:row>
          <xdr:rowOff>7620</xdr:rowOff>
        </xdr:from>
        <xdr:to>
          <xdr:col>10</xdr:col>
          <xdr:colOff>1295400</xdr:colOff>
          <xdr:row>19</xdr:row>
          <xdr:rowOff>236220</xdr:rowOff>
        </xdr:to>
        <xdr:sp macro="" textlink="">
          <xdr:nvSpPr>
            <xdr:cNvPr id="2136" name="Spinner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37" name="Spinner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24</xdr:row>
          <xdr:rowOff>7620</xdr:rowOff>
        </xdr:from>
        <xdr:to>
          <xdr:col>10</xdr:col>
          <xdr:colOff>1295400</xdr:colOff>
          <xdr:row>24</xdr:row>
          <xdr:rowOff>236220</xdr:rowOff>
        </xdr:to>
        <xdr:sp macro="" textlink="">
          <xdr:nvSpPr>
            <xdr:cNvPr id="2138" name="Spinner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25</xdr:row>
          <xdr:rowOff>7620</xdr:rowOff>
        </xdr:from>
        <xdr:to>
          <xdr:col>10</xdr:col>
          <xdr:colOff>1295400</xdr:colOff>
          <xdr:row>25</xdr:row>
          <xdr:rowOff>236220</xdr:rowOff>
        </xdr:to>
        <xdr:sp macro="" textlink="">
          <xdr:nvSpPr>
            <xdr:cNvPr id="2139" name="Spinner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17</xdr:row>
          <xdr:rowOff>22860</xdr:rowOff>
        </xdr:from>
        <xdr:to>
          <xdr:col>11</xdr:col>
          <xdr:colOff>784860</xdr:colOff>
          <xdr:row>17</xdr:row>
          <xdr:rowOff>251460</xdr:rowOff>
        </xdr:to>
        <xdr:sp macro="" textlink="">
          <xdr:nvSpPr>
            <xdr:cNvPr id="2140" name="Spinner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18</xdr:row>
          <xdr:rowOff>22860</xdr:rowOff>
        </xdr:from>
        <xdr:to>
          <xdr:col>11</xdr:col>
          <xdr:colOff>784860</xdr:colOff>
          <xdr:row>18</xdr:row>
          <xdr:rowOff>251460</xdr:rowOff>
        </xdr:to>
        <xdr:sp macro="" textlink="">
          <xdr:nvSpPr>
            <xdr:cNvPr id="2141" name="Spinner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19</xdr:row>
          <xdr:rowOff>22860</xdr:rowOff>
        </xdr:from>
        <xdr:to>
          <xdr:col>11</xdr:col>
          <xdr:colOff>784860</xdr:colOff>
          <xdr:row>19</xdr:row>
          <xdr:rowOff>251460</xdr:rowOff>
        </xdr:to>
        <xdr:sp macro="" textlink="">
          <xdr:nvSpPr>
            <xdr:cNvPr id="2142" name="Spinner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143" name="Spinner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24</xdr:row>
          <xdr:rowOff>22860</xdr:rowOff>
        </xdr:from>
        <xdr:to>
          <xdr:col>11</xdr:col>
          <xdr:colOff>784860</xdr:colOff>
          <xdr:row>24</xdr:row>
          <xdr:rowOff>251460</xdr:rowOff>
        </xdr:to>
        <xdr:sp macro="" textlink="">
          <xdr:nvSpPr>
            <xdr:cNvPr id="2144" name="Spinner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25</xdr:row>
          <xdr:rowOff>22860</xdr:rowOff>
        </xdr:from>
        <xdr:to>
          <xdr:col>11</xdr:col>
          <xdr:colOff>784860</xdr:colOff>
          <xdr:row>25</xdr:row>
          <xdr:rowOff>251460</xdr:rowOff>
        </xdr:to>
        <xdr:sp macro="" textlink="">
          <xdr:nvSpPr>
            <xdr:cNvPr id="2145" name="Spinner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17</xdr:row>
          <xdr:rowOff>7620</xdr:rowOff>
        </xdr:from>
        <xdr:to>
          <xdr:col>10</xdr:col>
          <xdr:colOff>1295400</xdr:colOff>
          <xdr:row>17</xdr:row>
          <xdr:rowOff>236220</xdr:rowOff>
        </xdr:to>
        <xdr:sp macro="" textlink="">
          <xdr:nvSpPr>
            <xdr:cNvPr id="2146" name="Spinner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18</xdr:row>
          <xdr:rowOff>7620</xdr:rowOff>
        </xdr:from>
        <xdr:to>
          <xdr:col>10</xdr:col>
          <xdr:colOff>1295400</xdr:colOff>
          <xdr:row>18</xdr:row>
          <xdr:rowOff>236220</xdr:rowOff>
        </xdr:to>
        <xdr:sp macro="" textlink="">
          <xdr:nvSpPr>
            <xdr:cNvPr id="2147" name="Spinner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19</xdr:row>
          <xdr:rowOff>7620</xdr:rowOff>
        </xdr:from>
        <xdr:to>
          <xdr:col>10</xdr:col>
          <xdr:colOff>1295400</xdr:colOff>
          <xdr:row>19</xdr:row>
          <xdr:rowOff>236220</xdr:rowOff>
        </xdr:to>
        <xdr:sp macro="" textlink="">
          <xdr:nvSpPr>
            <xdr:cNvPr id="2148" name="Spinner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49" name="Spinner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24</xdr:row>
          <xdr:rowOff>7620</xdr:rowOff>
        </xdr:from>
        <xdr:to>
          <xdr:col>10</xdr:col>
          <xdr:colOff>1295400</xdr:colOff>
          <xdr:row>24</xdr:row>
          <xdr:rowOff>236220</xdr:rowOff>
        </xdr:to>
        <xdr:sp macro="" textlink="">
          <xdr:nvSpPr>
            <xdr:cNvPr id="2150" name="Spinner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25</xdr:row>
          <xdr:rowOff>7620</xdr:rowOff>
        </xdr:from>
        <xdr:to>
          <xdr:col>10</xdr:col>
          <xdr:colOff>1295400</xdr:colOff>
          <xdr:row>25</xdr:row>
          <xdr:rowOff>236220</xdr:rowOff>
        </xdr:to>
        <xdr:sp macro="" textlink="">
          <xdr:nvSpPr>
            <xdr:cNvPr id="2151" name="Spinner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17</xdr:row>
          <xdr:rowOff>7620</xdr:rowOff>
        </xdr:from>
        <xdr:to>
          <xdr:col>10</xdr:col>
          <xdr:colOff>1295400</xdr:colOff>
          <xdr:row>17</xdr:row>
          <xdr:rowOff>236220</xdr:rowOff>
        </xdr:to>
        <xdr:sp macro="" textlink="">
          <xdr:nvSpPr>
            <xdr:cNvPr id="2152" name="Spinner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18</xdr:row>
          <xdr:rowOff>7620</xdr:rowOff>
        </xdr:from>
        <xdr:to>
          <xdr:col>10</xdr:col>
          <xdr:colOff>1295400</xdr:colOff>
          <xdr:row>18</xdr:row>
          <xdr:rowOff>236220</xdr:rowOff>
        </xdr:to>
        <xdr:sp macro="" textlink="">
          <xdr:nvSpPr>
            <xdr:cNvPr id="2153" name="Spinner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19</xdr:row>
          <xdr:rowOff>7620</xdr:rowOff>
        </xdr:from>
        <xdr:to>
          <xdr:col>10</xdr:col>
          <xdr:colOff>1295400</xdr:colOff>
          <xdr:row>19</xdr:row>
          <xdr:rowOff>236220</xdr:rowOff>
        </xdr:to>
        <xdr:sp macro="" textlink="">
          <xdr:nvSpPr>
            <xdr:cNvPr id="2154" name="Spinner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55" name="Spinner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24</xdr:row>
          <xdr:rowOff>7620</xdr:rowOff>
        </xdr:from>
        <xdr:to>
          <xdr:col>10</xdr:col>
          <xdr:colOff>1295400</xdr:colOff>
          <xdr:row>24</xdr:row>
          <xdr:rowOff>236220</xdr:rowOff>
        </xdr:to>
        <xdr:sp macro="" textlink="">
          <xdr:nvSpPr>
            <xdr:cNvPr id="2156" name="Spinner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1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25</xdr:row>
          <xdr:rowOff>7620</xdr:rowOff>
        </xdr:from>
        <xdr:to>
          <xdr:col>10</xdr:col>
          <xdr:colOff>1295400</xdr:colOff>
          <xdr:row>25</xdr:row>
          <xdr:rowOff>236220</xdr:rowOff>
        </xdr:to>
        <xdr:sp macro="" textlink="">
          <xdr:nvSpPr>
            <xdr:cNvPr id="2157" name="Spinner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20</xdr:row>
          <xdr:rowOff>22860</xdr:rowOff>
        </xdr:from>
        <xdr:to>
          <xdr:col>11</xdr:col>
          <xdr:colOff>784860</xdr:colOff>
          <xdr:row>20</xdr:row>
          <xdr:rowOff>251460</xdr:rowOff>
        </xdr:to>
        <xdr:sp macro="" textlink="">
          <xdr:nvSpPr>
            <xdr:cNvPr id="2158" name="Spinner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20</xdr:row>
          <xdr:rowOff>22860</xdr:rowOff>
        </xdr:from>
        <xdr:to>
          <xdr:col>11</xdr:col>
          <xdr:colOff>784860</xdr:colOff>
          <xdr:row>20</xdr:row>
          <xdr:rowOff>251460</xdr:rowOff>
        </xdr:to>
        <xdr:sp macro="" textlink="">
          <xdr:nvSpPr>
            <xdr:cNvPr id="2159" name="Spinner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20</xdr:row>
          <xdr:rowOff>22860</xdr:rowOff>
        </xdr:from>
        <xdr:to>
          <xdr:col>11</xdr:col>
          <xdr:colOff>784860</xdr:colOff>
          <xdr:row>20</xdr:row>
          <xdr:rowOff>251460</xdr:rowOff>
        </xdr:to>
        <xdr:sp macro="" textlink="">
          <xdr:nvSpPr>
            <xdr:cNvPr id="2160" name="Spinner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20</xdr:row>
          <xdr:rowOff>7620</xdr:rowOff>
        </xdr:from>
        <xdr:to>
          <xdr:col>10</xdr:col>
          <xdr:colOff>1295400</xdr:colOff>
          <xdr:row>20</xdr:row>
          <xdr:rowOff>236220</xdr:rowOff>
        </xdr:to>
        <xdr:sp macro="" textlink="">
          <xdr:nvSpPr>
            <xdr:cNvPr id="2161" name="Spinner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20</xdr:row>
          <xdr:rowOff>7620</xdr:rowOff>
        </xdr:from>
        <xdr:to>
          <xdr:col>10</xdr:col>
          <xdr:colOff>1295400</xdr:colOff>
          <xdr:row>20</xdr:row>
          <xdr:rowOff>236220</xdr:rowOff>
        </xdr:to>
        <xdr:sp macro="" textlink="">
          <xdr:nvSpPr>
            <xdr:cNvPr id="2162" name="Spinner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20</xdr:row>
          <xdr:rowOff>7620</xdr:rowOff>
        </xdr:from>
        <xdr:to>
          <xdr:col>10</xdr:col>
          <xdr:colOff>1295400</xdr:colOff>
          <xdr:row>20</xdr:row>
          <xdr:rowOff>236220</xdr:rowOff>
        </xdr:to>
        <xdr:sp macro="" textlink="">
          <xdr:nvSpPr>
            <xdr:cNvPr id="2163" name="Spinner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20</xdr:row>
          <xdr:rowOff>22860</xdr:rowOff>
        </xdr:from>
        <xdr:to>
          <xdr:col>11</xdr:col>
          <xdr:colOff>784860</xdr:colOff>
          <xdr:row>20</xdr:row>
          <xdr:rowOff>251460</xdr:rowOff>
        </xdr:to>
        <xdr:sp macro="" textlink="">
          <xdr:nvSpPr>
            <xdr:cNvPr id="2164" name="Spinner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20</xdr:row>
          <xdr:rowOff>7620</xdr:rowOff>
        </xdr:from>
        <xdr:to>
          <xdr:col>10</xdr:col>
          <xdr:colOff>1295400</xdr:colOff>
          <xdr:row>20</xdr:row>
          <xdr:rowOff>236220</xdr:rowOff>
        </xdr:to>
        <xdr:sp macro="" textlink="">
          <xdr:nvSpPr>
            <xdr:cNvPr id="2165" name="Spinner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1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20</xdr:row>
          <xdr:rowOff>7620</xdr:rowOff>
        </xdr:from>
        <xdr:to>
          <xdr:col>10</xdr:col>
          <xdr:colOff>1295400</xdr:colOff>
          <xdr:row>20</xdr:row>
          <xdr:rowOff>236220</xdr:rowOff>
        </xdr:to>
        <xdr:sp macro="" textlink="">
          <xdr:nvSpPr>
            <xdr:cNvPr id="2166" name="Spinner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1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21</xdr:row>
          <xdr:rowOff>22860</xdr:rowOff>
        </xdr:from>
        <xdr:to>
          <xdr:col>11</xdr:col>
          <xdr:colOff>784860</xdr:colOff>
          <xdr:row>21</xdr:row>
          <xdr:rowOff>251460</xdr:rowOff>
        </xdr:to>
        <xdr:sp macro="" textlink="">
          <xdr:nvSpPr>
            <xdr:cNvPr id="2167" name="Spinner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1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21</xdr:row>
          <xdr:rowOff>22860</xdr:rowOff>
        </xdr:from>
        <xdr:to>
          <xdr:col>11</xdr:col>
          <xdr:colOff>784860</xdr:colOff>
          <xdr:row>21</xdr:row>
          <xdr:rowOff>251460</xdr:rowOff>
        </xdr:to>
        <xdr:sp macro="" textlink="">
          <xdr:nvSpPr>
            <xdr:cNvPr id="2168" name="Spinner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1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21</xdr:row>
          <xdr:rowOff>22860</xdr:rowOff>
        </xdr:from>
        <xdr:to>
          <xdr:col>11</xdr:col>
          <xdr:colOff>784860</xdr:colOff>
          <xdr:row>21</xdr:row>
          <xdr:rowOff>251460</xdr:rowOff>
        </xdr:to>
        <xdr:sp macro="" textlink="">
          <xdr:nvSpPr>
            <xdr:cNvPr id="2169" name="Spinner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1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21</xdr:row>
          <xdr:rowOff>7620</xdr:rowOff>
        </xdr:from>
        <xdr:to>
          <xdr:col>10</xdr:col>
          <xdr:colOff>1295400</xdr:colOff>
          <xdr:row>21</xdr:row>
          <xdr:rowOff>236220</xdr:rowOff>
        </xdr:to>
        <xdr:sp macro="" textlink="">
          <xdr:nvSpPr>
            <xdr:cNvPr id="2170" name="Spinner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1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21</xdr:row>
          <xdr:rowOff>7620</xdr:rowOff>
        </xdr:from>
        <xdr:to>
          <xdr:col>10</xdr:col>
          <xdr:colOff>1295400</xdr:colOff>
          <xdr:row>21</xdr:row>
          <xdr:rowOff>236220</xdr:rowOff>
        </xdr:to>
        <xdr:sp macro="" textlink="">
          <xdr:nvSpPr>
            <xdr:cNvPr id="2171" name="Spinner 123" hidden="1">
              <a:extLst>
                <a:ext uri="{63B3BB69-23CF-44E3-9099-C40C66FF867C}">
                  <a14:compatExt spid="_x0000_s2171"/>
                </a:ext>
                <a:ext uri="{FF2B5EF4-FFF2-40B4-BE49-F238E27FC236}">
                  <a16:creationId xmlns:a16="http://schemas.microsoft.com/office/drawing/2014/main" id="{00000000-0008-0000-0100-00007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21</xdr:row>
          <xdr:rowOff>7620</xdr:rowOff>
        </xdr:from>
        <xdr:to>
          <xdr:col>10</xdr:col>
          <xdr:colOff>1295400</xdr:colOff>
          <xdr:row>21</xdr:row>
          <xdr:rowOff>236220</xdr:rowOff>
        </xdr:to>
        <xdr:sp macro="" textlink="">
          <xdr:nvSpPr>
            <xdr:cNvPr id="2172" name="Spinner 124" hidden="1">
              <a:extLst>
                <a:ext uri="{63B3BB69-23CF-44E3-9099-C40C66FF867C}">
                  <a14:compatExt spid="_x0000_s2172"/>
                </a:ext>
                <a:ext uri="{FF2B5EF4-FFF2-40B4-BE49-F238E27FC236}">
                  <a16:creationId xmlns:a16="http://schemas.microsoft.com/office/drawing/2014/main" id="{00000000-0008-0000-0100-00007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21</xdr:row>
          <xdr:rowOff>22860</xdr:rowOff>
        </xdr:from>
        <xdr:to>
          <xdr:col>11</xdr:col>
          <xdr:colOff>784860</xdr:colOff>
          <xdr:row>21</xdr:row>
          <xdr:rowOff>251460</xdr:rowOff>
        </xdr:to>
        <xdr:sp macro="" textlink="">
          <xdr:nvSpPr>
            <xdr:cNvPr id="2173" name="Spinner 125" hidden="1">
              <a:extLst>
                <a:ext uri="{63B3BB69-23CF-44E3-9099-C40C66FF867C}">
                  <a14:compatExt spid="_x0000_s2173"/>
                </a:ext>
                <a:ext uri="{FF2B5EF4-FFF2-40B4-BE49-F238E27FC236}">
                  <a16:creationId xmlns:a16="http://schemas.microsoft.com/office/drawing/2014/main" id="{00000000-0008-0000-0100-00007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21</xdr:row>
          <xdr:rowOff>7620</xdr:rowOff>
        </xdr:from>
        <xdr:to>
          <xdr:col>10</xdr:col>
          <xdr:colOff>1295400</xdr:colOff>
          <xdr:row>21</xdr:row>
          <xdr:rowOff>236220</xdr:rowOff>
        </xdr:to>
        <xdr:sp macro="" textlink="">
          <xdr:nvSpPr>
            <xdr:cNvPr id="2174" name="Spinner 126" hidden="1">
              <a:extLst>
                <a:ext uri="{63B3BB69-23CF-44E3-9099-C40C66FF867C}">
                  <a14:compatExt spid="_x0000_s2174"/>
                </a:ext>
                <a:ext uri="{FF2B5EF4-FFF2-40B4-BE49-F238E27FC236}">
                  <a16:creationId xmlns:a16="http://schemas.microsoft.com/office/drawing/2014/main" id="{00000000-0008-0000-0100-00007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21</xdr:row>
          <xdr:rowOff>7620</xdr:rowOff>
        </xdr:from>
        <xdr:to>
          <xdr:col>10</xdr:col>
          <xdr:colOff>1295400</xdr:colOff>
          <xdr:row>21</xdr:row>
          <xdr:rowOff>236220</xdr:rowOff>
        </xdr:to>
        <xdr:sp macro="" textlink="">
          <xdr:nvSpPr>
            <xdr:cNvPr id="2175" name="Spinner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00000000-0008-0000-0100-00007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22</xdr:row>
          <xdr:rowOff>22860</xdr:rowOff>
        </xdr:from>
        <xdr:to>
          <xdr:col>11</xdr:col>
          <xdr:colOff>784860</xdr:colOff>
          <xdr:row>22</xdr:row>
          <xdr:rowOff>251460</xdr:rowOff>
        </xdr:to>
        <xdr:sp macro="" textlink="">
          <xdr:nvSpPr>
            <xdr:cNvPr id="2176" name="Spinner 128" hidden="1">
              <a:extLst>
                <a:ext uri="{63B3BB69-23CF-44E3-9099-C40C66FF867C}">
                  <a14:compatExt spid="_x0000_s2176"/>
                </a:ext>
                <a:ext uri="{FF2B5EF4-FFF2-40B4-BE49-F238E27FC236}">
                  <a16:creationId xmlns:a16="http://schemas.microsoft.com/office/drawing/2014/main" id="{00000000-0008-0000-0100-00008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22</xdr:row>
          <xdr:rowOff>22860</xdr:rowOff>
        </xdr:from>
        <xdr:to>
          <xdr:col>11</xdr:col>
          <xdr:colOff>784860</xdr:colOff>
          <xdr:row>22</xdr:row>
          <xdr:rowOff>251460</xdr:rowOff>
        </xdr:to>
        <xdr:sp macro="" textlink="">
          <xdr:nvSpPr>
            <xdr:cNvPr id="2177" name="Spinner 129" hidden="1">
              <a:extLst>
                <a:ext uri="{63B3BB69-23CF-44E3-9099-C40C66FF867C}">
                  <a14:compatExt spid="_x0000_s2177"/>
                </a:ext>
                <a:ext uri="{FF2B5EF4-FFF2-40B4-BE49-F238E27FC236}">
                  <a16:creationId xmlns:a16="http://schemas.microsoft.com/office/drawing/2014/main" id="{00000000-0008-0000-0100-00008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22</xdr:row>
          <xdr:rowOff>22860</xdr:rowOff>
        </xdr:from>
        <xdr:to>
          <xdr:col>11</xdr:col>
          <xdr:colOff>784860</xdr:colOff>
          <xdr:row>22</xdr:row>
          <xdr:rowOff>251460</xdr:rowOff>
        </xdr:to>
        <xdr:sp macro="" textlink="">
          <xdr:nvSpPr>
            <xdr:cNvPr id="2178" name="Spinner 130" hidden="1">
              <a:extLst>
                <a:ext uri="{63B3BB69-23CF-44E3-9099-C40C66FF867C}">
                  <a14:compatExt spid="_x0000_s2178"/>
                </a:ext>
                <a:ext uri="{FF2B5EF4-FFF2-40B4-BE49-F238E27FC236}">
                  <a16:creationId xmlns:a16="http://schemas.microsoft.com/office/drawing/2014/main" id="{00000000-0008-0000-0100-00008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22</xdr:row>
          <xdr:rowOff>7620</xdr:rowOff>
        </xdr:from>
        <xdr:to>
          <xdr:col>10</xdr:col>
          <xdr:colOff>1295400</xdr:colOff>
          <xdr:row>22</xdr:row>
          <xdr:rowOff>236220</xdr:rowOff>
        </xdr:to>
        <xdr:sp macro="" textlink="">
          <xdr:nvSpPr>
            <xdr:cNvPr id="2179" name="Spinner 131" hidden="1">
              <a:extLst>
                <a:ext uri="{63B3BB69-23CF-44E3-9099-C40C66FF867C}">
                  <a14:compatExt spid="_x0000_s2179"/>
                </a:ext>
                <a:ext uri="{FF2B5EF4-FFF2-40B4-BE49-F238E27FC236}">
                  <a16:creationId xmlns:a16="http://schemas.microsoft.com/office/drawing/2014/main" id="{00000000-0008-0000-0100-00008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22</xdr:row>
          <xdr:rowOff>7620</xdr:rowOff>
        </xdr:from>
        <xdr:to>
          <xdr:col>10</xdr:col>
          <xdr:colOff>1295400</xdr:colOff>
          <xdr:row>22</xdr:row>
          <xdr:rowOff>236220</xdr:rowOff>
        </xdr:to>
        <xdr:sp macro="" textlink="">
          <xdr:nvSpPr>
            <xdr:cNvPr id="2180" name="Spinner 132" hidden="1">
              <a:extLst>
                <a:ext uri="{63B3BB69-23CF-44E3-9099-C40C66FF867C}">
                  <a14:compatExt spid="_x0000_s2180"/>
                </a:ext>
                <a:ext uri="{FF2B5EF4-FFF2-40B4-BE49-F238E27FC236}">
                  <a16:creationId xmlns:a16="http://schemas.microsoft.com/office/drawing/2014/main" id="{00000000-0008-0000-0100-00008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22</xdr:row>
          <xdr:rowOff>7620</xdr:rowOff>
        </xdr:from>
        <xdr:to>
          <xdr:col>10</xdr:col>
          <xdr:colOff>1295400</xdr:colOff>
          <xdr:row>22</xdr:row>
          <xdr:rowOff>236220</xdr:rowOff>
        </xdr:to>
        <xdr:sp macro="" textlink="">
          <xdr:nvSpPr>
            <xdr:cNvPr id="2181" name="Spinner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00000000-0008-0000-0100-00008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22</xdr:row>
          <xdr:rowOff>22860</xdr:rowOff>
        </xdr:from>
        <xdr:to>
          <xdr:col>11</xdr:col>
          <xdr:colOff>784860</xdr:colOff>
          <xdr:row>22</xdr:row>
          <xdr:rowOff>251460</xdr:rowOff>
        </xdr:to>
        <xdr:sp macro="" textlink="">
          <xdr:nvSpPr>
            <xdr:cNvPr id="2182" name="Spinner 134" hidden="1">
              <a:extLst>
                <a:ext uri="{63B3BB69-23CF-44E3-9099-C40C66FF867C}">
                  <a14:compatExt spid="_x0000_s2182"/>
                </a:ext>
                <a:ext uri="{FF2B5EF4-FFF2-40B4-BE49-F238E27FC236}">
                  <a16:creationId xmlns:a16="http://schemas.microsoft.com/office/drawing/2014/main" id="{00000000-0008-0000-0100-00008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22</xdr:row>
          <xdr:rowOff>7620</xdr:rowOff>
        </xdr:from>
        <xdr:to>
          <xdr:col>10</xdr:col>
          <xdr:colOff>1295400</xdr:colOff>
          <xdr:row>22</xdr:row>
          <xdr:rowOff>236220</xdr:rowOff>
        </xdr:to>
        <xdr:sp macro="" textlink="">
          <xdr:nvSpPr>
            <xdr:cNvPr id="2183" name="Spinner 135" hidden="1">
              <a:extLst>
                <a:ext uri="{63B3BB69-23CF-44E3-9099-C40C66FF867C}">
                  <a14:compatExt spid="_x0000_s2183"/>
                </a:ext>
                <a:ext uri="{FF2B5EF4-FFF2-40B4-BE49-F238E27FC236}">
                  <a16:creationId xmlns:a16="http://schemas.microsoft.com/office/drawing/2014/main" id="{00000000-0008-0000-0100-00008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22</xdr:row>
          <xdr:rowOff>7620</xdr:rowOff>
        </xdr:from>
        <xdr:to>
          <xdr:col>10</xdr:col>
          <xdr:colOff>1295400</xdr:colOff>
          <xdr:row>22</xdr:row>
          <xdr:rowOff>236220</xdr:rowOff>
        </xdr:to>
        <xdr:sp macro="" textlink="">
          <xdr:nvSpPr>
            <xdr:cNvPr id="2184" name="Spinner 136" hidden="1">
              <a:extLst>
                <a:ext uri="{63B3BB69-23CF-44E3-9099-C40C66FF867C}">
                  <a14:compatExt spid="_x0000_s2184"/>
                </a:ext>
                <a:ext uri="{FF2B5EF4-FFF2-40B4-BE49-F238E27FC236}">
                  <a16:creationId xmlns:a16="http://schemas.microsoft.com/office/drawing/2014/main" id="{00000000-0008-0000-0100-00008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185" name="Spinner 137" hidden="1">
              <a:extLst>
                <a:ext uri="{63B3BB69-23CF-44E3-9099-C40C66FF867C}">
                  <a14:compatExt spid="_x0000_s2185"/>
                </a:ext>
                <a:ext uri="{FF2B5EF4-FFF2-40B4-BE49-F238E27FC236}">
                  <a16:creationId xmlns:a16="http://schemas.microsoft.com/office/drawing/2014/main" id="{00000000-0008-0000-0100-00008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186" name="Spinner 138" hidden="1">
              <a:extLst>
                <a:ext uri="{63B3BB69-23CF-44E3-9099-C40C66FF867C}">
                  <a14:compatExt spid="_x0000_s2186"/>
                </a:ext>
                <a:ext uri="{FF2B5EF4-FFF2-40B4-BE49-F238E27FC236}">
                  <a16:creationId xmlns:a16="http://schemas.microsoft.com/office/drawing/2014/main" id="{00000000-0008-0000-0100-00008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187" name="Spinner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0000000-0008-0000-0100-00008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88" name="Spinner 140" hidden="1">
              <a:extLst>
                <a:ext uri="{63B3BB69-23CF-44E3-9099-C40C66FF867C}">
                  <a14:compatExt spid="_x0000_s2188"/>
                </a:ext>
                <a:ext uri="{FF2B5EF4-FFF2-40B4-BE49-F238E27FC236}">
                  <a16:creationId xmlns:a16="http://schemas.microsoft.com/office/drawing/2014/main" id="{00000000-0008-0000-0100-00008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89" name="Spinner 141" hidden="1">
              <a:extLst>
                <a:ext uri="{63B3BB69-23CF-44E3-9099-C40C66FF867C}">
                  <a14:compatExt spid="_x0000_s2189"/>
                </a:ext>
                <a:ext uri="{FF2B5EF4-FFF2-40B4-BE49-F238E27FC236}">
                  <a16:creationId xmlns:a16="http://schemas.microsoft.com/office/drawing/2014/main" id="{00000000-0008-0000-0100-00008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90" name="Spinner 142" hidden="1">
              <a:extLst>
                <a:ext uri="{63B3BB69-23CF-44E3-9099-C40C66FF867C}">
                  <a14:compatExt spid="_x0000_s2190"/>
                </a:ext>
                <a:ext uri="{FF2B5EF4-FFF2-40B4-BE49-F238E27FC236}">
                  <a16:creationId xmlns:a16="http://schemas.microsoft.com/office/drawing/2014/main" id="{00000000-0008-0000-0100-00008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23</xdr:row>
          <xdr:rowOff>22860</xdr:rowOff>
        </xdr:from>
        <xdr:to>
          <xdr:col>11</xdr:col>
          <xdr:colOff>784860</xdr:colOff>
          <xdr:row>23</xdr:row>
          <xdr:rowOff>251460</xdr:rowOff>
        </xdr:to>
        <xdr:sp macro="" textlink="">
          <xdr:nvSpPr>
            <xdr:cNvPr id="2191" name="Spinner 143" hidden="1">
              <a:extLst>
                <a:ext uri="{63B3BB69-23CF-44E3-9099-C40C66FF867C}">
                  <a14:compatExt spid="_x0000_s2191"/>
                </a:ext>
                <a:ext uri="{FF2B5EF4-FFF2-40B4-BE49-F238E27FC236}">
                  <a16:creationId xmlns:a16="http://schemas.microsoft.com/office/drawing/2014/main" id="{00000000-0008-0000-0100-00008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92" name="Spinner 144" hidden="1">
              <a:extLst>
                <a:ext uri="{63B3BB69-23CF-44E3-9099-C40C66FF867C}">
                  <a14:compatExt spid="_x0000_s2192"/>
                </a:ext>
                <a:ext uri="{FF2B5EF4-FFF2-40B4-BE49-F238E27FC236}">
                  <a16:creationId xmlns:a16="http://schemas.microsoft.com/office/drawing/2014/main" id="{00000000-0008-0000-0100-00009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23</xdr:row>
          <xdr:rowOff>7620</xdr:rowOff>
        </xdr:from>
        <xdr:to>
          <xdr:col>10</xdr:col>
          <xdr:colOff>1295400</xdr:colOff>
          <xdr:row>23</xdr:row>
          <xdr:rowOff>236220</xdr:rowOff>
        </xdr:to>
        <xdr:sp macro="" textlink="">
          <xdr:nvSpPr>
            <xdr:cNvPr id="2193" name="Spinner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00000000-0008-0000-0100-00009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26</xdr:row>
          <xdr:rowOff>22860</xdr:rowOff>
        </xdr:from>
        <xdr:to>
          <xdr:col>11</xdr:col>
          <xdr:colOff>784860</xdr:colOff>
          <xdr:row>26</xdr:row>
          <xdr:rowOff>251460</xdr:rowOff>
        </xdr:to>
        <xdr:sp macro="" textlink="">
          <xdr:nvSpPr>
            <xdr:cNvPr id="2194" name="Spinner 146" hidden="1">
              <a:extLst>
                <a:ext uri="{63B3BB69-23CF-44E3-9099-C40C66FF867C}">
                  <a14:compatExt spid="_x0000_s2194"/>
                </a:ext>
                <a:ext uri="{FF2B5EF4-FFF2-40B4-BE49-F238E27FC236}">
                  <a16:creationId xmlns:a16="http://schemas.microsoft.com/office/drawing/2014/main" id="{00000000-0008-0000-0100-00009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26</xdr:row>
          <xdr:rowOff>22860</xdr:rowOff>
        </xdr:from>
        <xdr:to>
          <xdr:col>11</xdr:col>
          <xdr:colOff>784860</xdr:colOff>
          <xdr:row>26</xdr:row>
          <xdr:rowOff>251460</xdr:rowOff>
        </xdr:to>
        <xdr:sp macro="" textlink="">
          <xdr:nvSpPr>
            <xdr:cNvPr id="2195" name="Spinner 147" hidden="1">
              <a:extLst>
                <a:ext uri="{63B3BB69-23CF-44E3-9099-C40C66FF867C}">
                  <a14:compatExt spid="_x0000_s2195"/>
                </a:ext>
                <a:ext uri="{FF2B5EF4-FFF2-40B4-BE49-F238E27FC236}">
                  <a16:creationId xmlns:a16="http://schemas.microsoft.com/office/drawing/2014/main" id="{00000000-0008-0000-0100-00009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26</xdr:row>
          <xdr:rowOff>22860</xdr:rowOff>
        </xdr:from>
        <xdr:to>
          <xdr:col>11</xdr:col>
          <xdr:colOff>784860</xdr:colOff>
          <xdr:row>26</xdr:row>
          <xdr:rowOff>251460</xdr:rowOff>
        </xdr:to>
        <xdr:sp macro="" textlink="">
          <xdr:nvSpPr>
            <xdr:cNvPr id="2196" name="Spinner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1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26</xdr:row>
          <xdr:rowOff>7620</xdr:rowOff>
        </xdr:from>
        <xdr:to>
          <xdr:col>10</xdr:col>
          <xdr:colOff>1295400</xdr:colOff>
          <xdr:row>26</xdr:row>
          <xdr:rowOff>236220</xdr:rowOff>
        </xdr:to>
        <xdr:sp macro="" textlink="">
          <xdr:nvSpPr>
            <xdr:cNvPr id="2197" name="Spinner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1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26</xdr:row>
          <xdr:rowOff>7620</xdr:rowOff>
        </xdr:from>
        <xdr:to>
          <xdr:col>10</xdr:col>
          <xdr:colOff>1295400</xdr:colOff>
          <xdr:row>26</xdr:row>
          <xdr:rowOff>236220</xdr:rowOff>
        </xdr:to>
        <xdr:sp macro="" textlink="">
          <xdr:nvSpPr>
            <xdr:cNvPr id="2198" name="Spinner 150" hidden="1">
              <a:extLst>
                <a:ext uri="{63B3BB69-23CF-44E3-9099-C40C66FF867C}">
                  <a14:compatExt spid="_x0000_s2198"/>
                </a:ext>
                <a:ext uri="{FF2B5EF4-FFF2-40B4-BE49-F238E27FC236}">
                  <a16:creationId xmlns:a16="http://schemas.microsoft.com/office/drawing/2014/main" id="{00000000-0008-0000-0100-00009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26</xdr:row>
          <xdr:rowOff>7620</xdr:rowOff>
        </xdr:from>
        <xdr:to>
          <xdr:col>10</xdr:col>
          <xdr:colOff>1295400</xdr:colOff>
          <xdr:row>26</xdr:row>
          <xdr:rowOff>236220</xdr:rowOff>
        </xdr:to>
        <xdr:sp macro="" textlink="">
          <xdr:nvSpPr>
            <xdr:cNvPr id="2199" name="Spinner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1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411480</xdr:colOff>
          <xdr:row>26</xdr:row>
          <xdr:rowOff>22860</xdr:rowOff>
        </xdr:from>
        <xdr:to>
          <xdr:col>11</xdr:col>
          <xdr:colOff>784860</xdr:colOff>
          <xdr:row>26</xdr:row>
          <xdr:rowOff>251460</xdr:rowOff>
        </xdr:to>
        <xdr:sp macro="" textlink="">
          <xdr:nvSpPr>
            <xdr:cNvPr id="2200" name="Spinner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1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26</xdr:row>
          <xdr:rowOff>7620</xdr:rowOff>
        </xdr:from>
        <xdr:to>
          <xdr:col>10</xdr:col>
          <xdr:colOff>1295400</xdr:colOff>
          <xdr:row>26</xdr:row>
          <xdr:rowOff>236220</xdr:rowOff>
        </xdr:to>
        <xdr:sp macro="" textlink="">
          <xdr:nvSpPr>
            <xdr:cNvPr id="2201" name="Spinner 153" hidden="1">
              <a:extLst>
                <a:ext uri="{63B3BB69-23CF-44E3-9099-C40C66FF867C}">
                  <a14:compatExt spid="_x0000_s2201"/>
                </a:ext>
                <a:ext uri="{FF2B5EF4-FFF2-40B4-BE49-F238E27FC236}">
                  <a16:creationId xmlns:a16="http://schemas.microsoft.com/office/drawing/2014/main" id="{00000000-0008-0000-0100-00009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26</xdr:row>
          <xdr:rowOff>7620</xdr:rowOff>
        </xdr:from>
        <xdr:to>
          <xdr:col>10</xdr:col>
          <xdr:colOff>1295400</xdr:colOff>
          <xdr:row>26</xdr:row>
          <xdr:rowOff>236220</xdr:rowOff>
        </xdr:to>
        <xdr:sp macro="" textlink="">
          <xdr:nvSpPr>
            <xdr:cNvPr id="2202" name="Spinner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1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03" name="Spinner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1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04" name="Spinner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1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05" name="Spinner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00000000-0008-0000-0100-00009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06" name="Spinner 158" hidden="1">
              <a:extLst>
                <a:ext uri="{63B3BB69-23CF-44E3-9099-C40C66FF867C}">
                  <a14:compatExt spid="_x0000_s2206"/>
                </a:ext>
                <a:ext uri="{FF2B5EF4-FFF2-40B4-BE49-F238E27FC236}">
                  <a16:creationId xmlns:a16="http://schemas.microsoft.com/office/drawing/2014/main" id="{00000000-0008-0000-0100-00009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07" name="Spinner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1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08" name="Spinner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1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09" name="Spinner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1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10" name="Spinner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1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11" name="Spinner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1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922020</xdr:colOff>
          <xdr:row>16</xdr:row>
          <xdr:rowOff>7620</xdr:rowOff>
        </xdr:from>
        <xdr:to>
          <xdr:col>10</xdr:col>
          <xdr:colOff>1295400</xdr:colOff>
          <xdr:row>16</xdr:row>
          <xdr:rowOff>236220</xdr:rowOff>
        </xdr:to>
        <xdr:sp macro="" textlink="">
          <xdr:nvSpPr>
            <xdr:cNvPr id="2212" name="Spinner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1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eus%20Pacheco/Desktop/HVAC/Planilha%20de%20Gest&#227;o%20de%20Projetos%20(MODELO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c48087fecbb8190/&#193;rea%20de%20Trabalho/1-HVAC/0-PACOTE%20TECNICO%20COMERCIAL/PP-%20(VERS&#195;O%2013).xlsm" TargetMode="External"/><Relationship Id="rId1" Type="http://schemas.openxmlformats.org/officeDocument/2006/relationships/externalLinkPath" Target="/1c48087fecbb8190/&#193;rea%20de%20Trabalho/1-HVAC/0-PACOTE%20TECNICO%20COMERCIAL/PP-%20(VERS&#195;O%201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Auxiliar"/>
      <sheetName val="Folha de Rosto"/>
      <sheetName val="Cálculos"/>
      <sheetName val="Honorários"/>
      <sheetName val="Carga Térmica"/>
      <sheetName val="Rede de Dutos (AC)"/>
      <sheetName val="Rede de Dutos (Exaustão)"/>
      <sheetName val="Consumo Elétrico"/>
      <sheetName val="Checklist"/>
      <sheetName val="Planilha de Gestão de Projetos "/>
    </sheetNames>
    <sheetDataSet>
      <sheetData sheetId="0" refreshError="1"/>
      <sheetData sheetId="1">
        <row r="2">
          <cell r="K2" t="str">
            <v>Comércio varejista</v>
          </cell>
          <cell r="L2" t="str">
            <v>Edifícios de escritórios</v>
          </cell>
          <cell r="M2" t="str">
            <v>Bancos</v>
          </cell>
          <cell r="N2" t="str">
            <v>Edifícios públicos</v>
          </cell>
          <cell r="O2" t="str">
            <v>Esportes</v>
          </cell>
          <cell r="P2" t="str">
            <v>Estabelecimentos de ensino</v>
          </cell>
          <cell r="Q2" t="str">
            <v>Hotéis</v>
          </cell>
          <cell r="R2" t="str">
            <v>Restaurantes, bares, diversão</v>
          </cell>
          <cell r="S2" t="str">
            <v>Locais diversos</v>
          </cell>
        </row>
        <row r="3">
          <cell r="K3" t="str">
            <v>Supermercado de alto padrão</v>
          </cell>
          <cell r="L3" t="str">
            <v>Hall do edifício, recepção</v>
          </cell>
          <cell r="M3" t="str">
            <v>Bancos (área de público)</v>
          </cell>
          <cell r="N3" t="str">
            <v>Aeroporto - Saguão</v>
          </cell>
          <cell r="O3" t="str">
            <v>Boliche - Área de público</v>
          </cell>
          <cell r="P3" t="str">
            <v>Sala de aula</v>
          </cell>
          <cell r="Q3" t="str">
            <v>Apartamentode hóspedes</v>
          </cell>
          <cell r="R3" t="str">
            <v>Restaurante - Salão de refeições</v>
          </cell>
          <cell r="S3" t="str">
            <v>Câmara escura</v>
          </cell>
        </row>
        <row r="4">
          <cell r="K4" t="str">
            <v>Supermercado de padrão médio</v>
          </cell>
          <cell r="L4" t="str">
            <v>Escritórios de diretoria</v>
          </cell>
          <cell r="M4" t="str">
            <v>Caixa forte</v>
          </cell>
          <cell r="N4" t="str">
            <v>Aeroporto - Sala de Embarque</v>
          </cell>
          <cell r="O4" t="str">
            <v>Ginásio coberto (área de público)</v>
          </cell>
          <cell r="P4" t="str">
            <v>Laboratório de informática</v>
          </cell>
          <cell r="Q4" t="str">
            <v>Banheiro privativo</v>
          </cell>
          <cell r="R4" t="str">
            <v>Bar, salão de coquetel</v>
          </cell>
          <cell r="S4" t="str">
            <v>Copa</v>
          </cell>
        </row>
        <row r="5">
          <cell r="K5" t="str">
            <v>Supermercado popular</v>
          </cell>
          <cell r="L5" t="str">
            <v>Escritório com baixa densidade</v>
          </cell>
          <cell r="M5"/>
          <cell r="N5" t="str">
            <v>Biblioteca</v>
          </cell>
          <cell r="O5" t="str">
            <v>Ginásio coberto (quadra)</v>
          </cell>
          <cell r="P5" t="str">
            <v>Laboratório de ciências</v>
          </cell>
          <cell r="Q5" t="str">
            <v>Lobby, sala de estar</v>
          </cell>
          <cell r="R5" t="str">
            <v>Cafeteria, lanchonete, refeitório</v>
          </cell>
          <cell r="S5" t="str">
            <v>Sala exclusiva para fumar</v>
          </cell>
        </row>
        <row r="6">
          <cell r="K6" t="str">
            <v>Mall de centros comerciais</v>
          </cell>
          <cell r="L6" t="str">
            <v>Escritório com média densidade</v>
          </cell>
          <cell r="M6"/>
          <cell r="N6" t="str">
            <v>Museu, galeria de arte</v>
          </cell>
          <cell r="O6" t="str">
            <v>Piscina coberta</v>
          </cell>
          <cell r="P6"/>
          <cell r="Q6" t="str">
            <v>Sala de convenções</v>
          </cell>
          <cell r="R6" t="str">
            <v>Salão de jogos</v>
          </cell>
          <cell r="S6" t="str">
            <v>Sanitários públicos</v>
          </cell>
        </row>
        <row r="7">
          <cell r="K7" t="str">
            <v>Lojas</v>
          </cell>
          <cell r="L7" t="str">
            <v>Escritório com alta densidade</v>
          </cell>
          <cell r="M7"/>
          <cell r="N7" t="str">
            <v>Local de culto</v>
          </cell>
          <cell r="O7" t="str">
            <v>"Fitness center" - Aeróbica</v>
          </cell>
          <cell r="P7"/>
          <cell r="Q7" t="str">
            <v>Dormitório coletivo</v>
          </cell>
          <cell r="R7" t="str">
            <v>Discoteca, danceteria</v>
          </cell>
          <cell r="S7" t="str">
            <v>Vestiários coletivos</v>
          </cell>
        </row>
        <row r="8">
          <cell r="K8" t="str">
            <v>Salão de beleza e/ou barbearia</v>
          </cell>
          <cell r="L8" t="str">
            <v>Sala de reunião</v>
          </cell>
          <cell r="M8"/>
          <cell r="N8" t="str">
            <v>Legislativo - Plenário</v>
          </cell>
          <cell r="O8" t="str">
            <v>"Fitness center" - Aparelhos</v>
          </cell>
          <cell r="P8"/>
          <cell r="Q8"/>
          <cell r="R8" t="str">
            <v>Jogos eletrônicos</v>
          </cell>
          <cell r="S8"/>
        </row>
        <row r="9">
          <cell r="K9" t="str">
            <v>Animais de estimação</v>
          </cell>
          <cell r="L9" t="str">
            <v>CPD (exceto impressoras)</v>
          </cell>
          <cell r="M9"/>
          <cell r="N9" t="str">
            <v>Teatro, cinema, auditório - Lobby</v>
          </cell>
          <cell r="O9"/>
          <cell r="P9"/>
          <cell r="Q9"/>
          <cell r="R9"/>
          <cell r="S9"/>
        </row>
        <row r="10">
          <cell r="K10" t="str">
            <v>Lavanderia "self-service"</v>
          </cell>
          <cell r="L10" t="str">
            <v>Sala impressoras, copiadoras</v>
          </cell>
          <cell r="M10"/>
          <cell r="N10" t="str">
            <v>Teatro, cinema, auditório - Platéia</v>
          </cell>
          <cell r="O10"/>
          <cell r="P10"/>
          <cell r="Q10"/>
          <cell r="R10"/>
          <cell r="S10"/>
        </row>
        <row r="11">
          <cell r="K11"/>
          <cell r="L11" t="str">
            <v>Sala digitação</v>
          </cell>
          <cell r="M11"/>
          <cell r="N11" t="str">
            <v>Teatro, cinema, auditório - Palco</v>
          </cell>
          <cell r="O11"/>
          <cell r="P11"/>
          <cell r="Q11"/>
          <cell r="R11"/>
          <cell r="S11"/>
        </row>
        <row r="12">
          <cell r="K12"/>
          <cell r="L12" t="str">
            <v>Call center</v>
          </cell>
          <cell r="M12"/>
          <cell r="N12" t="str">
            <v>Tribunal - Sala de audiências</v>
          </cell>
          <cell r="O12"/>
          <cell r="P12"/>
          <cell r="Q12"/>
          <cell r="R12"/>
          <cell r="S12"/>
        </row>
        <row r="14">
          <cell r="K14">
            <v>8</v>
          </cell>
          <cell r="L14">
            <v>10</v>
          </cell>
          <cell r="M14">
            <v>2</v>
          </cell>
          <cell r="N14">
            <v>10</v>
          </cell>
          <cell r="O14">
            <v>6</v>
          </cell>
          <cell r="P14">
            <v>3</v>
          </cell>
          <cell r="Q14">
            <v>5</v>
          </cell>
          <cell r="R14">
            <v>6</v>
          </cell>
          <cell r="S14">
            <v>5</v>
          </cell>
        </row>
      </sheetData>
      <sheetData sheetId="2">
        <row r="1">
          <cell r="B1" t="str">
            <v>Ferrous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GA ESTIMADA 1"/>
      <sheetName val="FD"/>
      <sheetName val="FD EQUIP 1"/>
      <sheetName val="CARGAS"/>
      <sheetName val="REDE DE DUTOS"/>
      <sheetName val="PC"/>
      <sheetName val="CADASTRO EQUIPAMENTOS"/>
      <sheetName val="INDUSTRIAL"/>
      <sheetName val="COMERCIAL"/>
      <sheetName val="VENTILADORES"/>
      <sheetName val="AUX5-CUSTOS"/>
      <sheetName val="CADASTRO AMBIENTES"/>
      <sheetName val="CLIMATIZADO"/>
      <sheetName val="PC PLOT"/>
      <sheetName val="CRONO"/>
      <sheetName val="BM"/>
      <sheetName val="CKLIST"/>
      <sheetName val="LM"/>
      <sheetName val="AUX-CARGA ESTIMADA"/>
      <sheetName val="AUX-Interligação Frigorígena"/>
      <sheetName val="AUX1 - Pressurização OK"/>
      <sheetName val="AUX2 - Termodinâmica"/>
      <sheetName val="AUX3 - Prop. dos Materiais"/>
      <sheetName val="AUX4 - Dados Ambientais"/>
      <sheetName val="AUX4 - Dados Ambientais (2)"/>
      <sheetName val="Planilha de Acessórios Difusão"/>
      <sheetName val="ATA DE PROJETO"/>
      <sheetName val="BATERIAS"/>
      <sheetName val="VENTILADO"/>
      <sheetName val="Infos de Referência (2)"/>
      <sheetName val="Infos de Referência"/>
      <sheetName val="PP- (VERSÃO 13)"/>
    </sheetNames>
    <definedNames>
      <definedName name="CargaEstimada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2">
          <cell r="E12">
            <v>33.1</v>
          </cell>
          <cell r="H12">
            <v>26.1</v>
          </cell>
          <cell r="I12">
            <v>8.1999999999999993</v>
          </cell>
          <cell r="J12">
            <v>-1.38</v>
          </cell>
          <cell r="K12">
            <v>-48.48</v>
          </cell>
          <cell r="L12">
            <v>16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63" Type="http://schemas.openxmlformats.org/officeDocument/2006/relationships/ctrlProp" Target="../ctrlProps/ctrlProp61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159" Type="http://schemas.openxmlformats.org/officeDocument/2006/relationships/ctrlProp" Target="../ctrlProps/ctrlProp157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53" Type="http://schemas.openxmlformats.org/officeDocument/2006/relationships/ctrlProp" Target="../ctrlProps/ctrlProp51.xml"/><Relationship Id="rId74" Type="http://schemas.openxmlformats.org/officeDocument/2006/relationships/ctrlProp" Target="../ctrlProps/ctrlProp72.xml"/><Relationship Id="rId128" Type="http://schemas.openxmlformats.org/officeDocument/2006/relationships/ctrlProp" Target="../ctrlProps/ctrlProp126.xml"/><Relationship Id="rId149" Type="http://schemas.openxmlformats.org/officeDocument/2006/relationships/ctrlProp" Target="../ctrlProps/ctrlProp147.xml"/><Relationship Id="rId5" Type="http://schemas.openxmlformats.org/officeDocument/2006/relationships/ctrlProp" Target="../ctrlProps/ctrlProp3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22" Type="http://schemas.openxmlformats.org/officeDocument/2006/relationships/ctrlProp" Target="../ctrlProps/ctrlProp20.xml"/><Relationship Id="rId43" Type="http://schemas.openxmlformats.org/officeDocument/2006/relationships/ctrlProp" Target="../ctrlProps/ctrlProp41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139" Type="http://schemas.openxmlformats.org/officeDocument/2006/relationships/ctrlProp" Target="../ctrlProps/ctrlProp137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59" Type="http://schemas.openxmlformats.org/officeDocument/2006/relationships/ctrlProp" Target="../ctrlProps/ctrlProp57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54" Type="http://schemas.openxmlformats.org/officeDocument/2006/relationships/ctrlProp" Target="../ctrlProps/ctrlProp52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40" Type="http://schemas.openxmlformats.org/officeDocument/2006/relationships/ctrlProp" Target="../ctrlProps/ctrlProp138.xml"/><Relationship Id="rId145" Type="http://schemas.openxmlformats.org/officeDocument/2006/relationships/ctrlProp" Target="../ctrlProps/ctrlProp143.xml"/><Relationship Id="rId161" Type="http://schemas.openxmlformats.org/officeDocument/2006/relationships/ctrlProp" Target="../ctrlProps/ctrlProp159.xml"/><Relationship Id="rId166" Type="http://schemas.openxmlformats.org/officeDocument/2006/relationships/ctrlProp" Target="../ctrlProps/ctrlProp16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44" Type="http://schemas.openxmlformats.org/officeDocument/2006/relationships/ctrlProp" Target="../ctrlProps/ctrlProp42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51" Type="http://schemas.openxmlformats.org/officeDocument/2006/relationships/ctrlProp" Target="../ctrlProps/ctrlProp149.xml"/><Relationship Id="rId156" Type="http://schemas.openxmlformats.org/officeDocument/2006/relationships/ctrlProp" Target="../ctrlProps/ctrlProp154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146" Type="http://schemas.openxmlformats.org/officeDocument/2006/relationships/ctrlProp" Target="../ctrlProps/ctrlProp144.xml"/><Relationship Id="rId167" Type="http://schemas.openxmlformats.org/officeDocument/2006/relationships/ctrlProp" Target="../ctrlProps/ctrlProp165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162" Type="http://schemas.openxmlformats.org/officeDocument/2006/relationships/ctrlProp" Target="../ctrlProps/ctrlProp160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157" Type="http://schemas.openxmlformats.org/officeDocument/2006/relationships/ctrlProp" Target="../ctrlProps/ctrlProp15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52" Type="http://schemas.openxmlformats.org/officeDocument/2006/relationships/ctrlProp" Target="../ctrlProps/ctrlProp15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Relationship Id="rId147" Type="http://schemas.openxmlformats.org/officeDocument/2006/relationships/ctrlProp" Target="../ctrlProps/ctrlProp14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163" Type="http://schemas.openxmlformats.org/officeDocument/2006/relationships/ctrlProp" Target="../ctrlProps/ctrlProp161.xml"/><Relationship Id="rId3" Type="http://schemas.openxmlformats.org/officeDocument/2006/relationships/vmlDrawing" Target="../drawings/vmlDrawing2.vml"/><Relationship Id="rId25" Type="http://schemas.openxmlformats.org/officeDocument/2006/relationships/ctrlProp" Target="../ctrlProps/ctrlProp23.xml"/><Relationship Id="rId46" Type="http://schemas.openxmlformats.org/officeDocument/2006/relationships/ctrlProp" Target="../ctrlProps/ctrlProp44.xml"/><Relationship Id="rId67" Type="http://schemas.openxmlformats.org/officeDocument/2006/relationships/ctrlProp" Target="../ctrlProps/ctrlProp65.xml"/><Relationship Id="rId116" Type="http://schemas.openxmlformats.org/officeDocument/2006/relationships/ctrlProp" Target="../ctrlProps/ctrlProp114.xml"/><Relationship Id="rId137" Type="http://schemas.openxmlformats.org/officeDocument/2006/relationships/ctrlProp" Target="../ctrlProps/ctrlProp135.xml"/><Relationship Id="rId158" Type="http://schemas.openxmlformats.org/officeDocument/2006/relationships/ctrlProp" Target="../ctrlProps/ctrlProp156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62" Type="http://schemas.openxmlformats.org/officeDocument/2006/relationships/ctrlProp" Target="../ctrlProps/ctrlProp60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53" Type="http://schemas.openxmlformats.org/officeDocument/2006/relationships/ctrlProp" Target="../ctrlProps/ctrlProp151.xml"/><Relationship Id="rId15" Type="http://schemas.openxmlformats.org/officeDocument/2006/relationships/ctrlProp" Target="../ctrlProps/ctrlProp13.xml"/><Relationship Id="rId36" Type="http://schemas.openxmlformats.org/officeDocument/2006/relationships/ctrlProp" Target="../ctrlProps/ctrlProp34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52" Type="http://schemas.openxmlformats.org/officeDocument/2006/relationships/ctrlProp" Target="../ctrlProps/ctrlProp50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43" Type="http://schemas.openxmlformats.org/officeDocument/2006/relationships/ctrlProp" Target="../ctrlProps/ctrlProp141.xml"/><Relationship Id="rId148" Type="http://schemas.openxmlformats.org/officeDocument/2006/relationships/ctrlProp" Target="../ctrlProps/ctrlProp146.xml"/><Relationship Id="rId164" Type="http://schemas.openxmlformats.org/officeDocument/2006/relationships/ctrlProp" Target="../ctrlProps/ctrlProp16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26" Type="http://schemas.openxmlformats.org/officeDocument/2006/relationships/ctrlProp" Target="../ctrlProps/ctrlProp24.xml"/><Relationship Id="rId47" Type="http://schemas.openxmlformats.org/officeDocument/2006/relationships/ctrlProp" Target="../ctrlProps/ctrlProp45.xml"/><Relationship Id="rId68" Type="http://schemas.openxmlformats.org/officeDocument/2006/relationships/ctrlProp" Target="../ctrlProps/ctrlProp66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54" Type="http://schemas.openxmlformats.org/officeDocument/2006/relationships/ctrlProp" Target="../ctrlProps/ctrlProp152.xml"/><Relationship Id="rId16" Type="http://schemas.openxmlformats.org/officeDocument/2006/relationships/ctrlProp" Target="../ctrlProps/ctrlProp14.xml"/><Relationship Id="rId37" Type="http://schemas.openxmlformats.org/officeDocument/2006/relationships/ctrlProp" Target="../ctrlProps/ctrlProp35.xml"/><Relationship Id="rId58" Type="http://schemas.openxmlformats.org/officeDocument/2006/relationships/ctrlProp" Target="../ctrlProps/ctrlProp56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44" Type="http://schemas.openxmlformats.org/officeDocument/2006/relationships/ctrlProp" Target="../ctrlProps/ctrlProp142.xml"/><Relationship Id="rId90" Type="http://schemas.openxmlformats.org/officeDocument/2006/relationships/ctrlProp" Target="../ctrlProps/ctrlProp88.xml"/><Relationship Id="rId165" Type="http://schemas.openxmlformats.org/officeDocument/2006/relationships/ctrlProp" Target="../ctrlProps/ctrlProp163.xml"/><Relationship Id="rId27" Type="http://schemas.openxmlformats.org/officeDocument/2006/relationships/ctrlProp" Target="../ctrlProps/ctrlProp25.xml"/><Relationship Id="rId48" Type="http://schemas.openxmlformats.org/officeDocument/2006/relationships/ctrlProp" Target="../ctrlProps/ctrlProp46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34" Type="http://schemas.openxmlformats.org/officeDocument/2006/relationships/ctrlProp" Target="../ctrlProps/ctrlProp132.xml"/><Relationship Id="rId80" Type="http://schemas.openxmlformats.org/officeDocument/2006/relationships/ctrlProp" Target="../ctrlProps/ctrlProp78.xml"/><Relationship Id="rId155" Type="http://schemas.openxmlformats.org/officeDocument/2006/relationships/ctrlProp" Target="../ctrlProps/ctrlProp15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44F4-BAD5-4043-ACF8-22BAF1CF0620}">
  <sheetPr codeName="Planilha3"/>
  <dimension ref="A1:L134"/>
  <sheetViews>
    <sheetView topLeftCell="A112" zoomScaleNormal="100" zoomScaleSheetLayoutView="100" workbookViewId="0">
      <selection activeCell="I89" sqref="I89"/>
    </sheetView>
  </sheetViews>
  <sheetFormatPr defaultRowHeight="14.4" x14ac:dyDescent="0.3"/>
  <cols>
    <col min="1" max="1" width="32.6640625" customWidth="1"/>
    <col min="2" max="2" width="20" style="20" bestFit="1" customWidth="1"/>
    <col min="3" max="3" width="17.5546875" customWidth="1"/>
    <col min="4" max="4" width="15.5546875" customWidth="1"/>
    <col min="5" max="5" width="17" customWidth="1"/>
    <col min="6" max="6" width="32.5546875" bestFit="1" customWidth="1"/>
    <col min="7" max="7" width="17.5546875" customWidth="1"/>
    <col min="8" max="8" width="14.6640625" customWidth="1"/>
    <col min="9" max="9" width="13.88671875" customWidth="1"/>
    <col min="12" max="12" width="11.5546875" customWidth="1"/>
    <col min="13" max="13" width="16.44140625" customWidth="1"/>
    <col min="14" max="14" width="20.109375" bestFit="1" customWidth="1"/>
    <col min="15" max="16" width="8.5546875" customWidth="1"/>
    <col min="17" max="17" width="8" customWidth="1"/>
    <col min="18" max="18" width="8.44140625" customWidth="1"/>
    <col min="19" max="19" width="16.88671875" customWidth="1"/>
  </cols>
  <sheetData>
    <row r="1" spans="1:6" ht="27" customHeight="1" x14ac:dyDescent="0.3">
      <c r="A1" s="170" t="s">
        <v>0</v>
      </c>
      <c r="B1" s="171"/>
      <c r="C1" s="1"/>
      <c r="D1" s="1"/>
      <c r="E1" s="2"/>
      <c r="F1" s="3"/>
    </row>
    <row r="2" spans="1:6" x14ac:dyDescent="0.3">
      <c r="A2" s="4" t="s">
        <v>1</v>
      </c>
      <c r="B2" s="5" t="s">
        <v>170</v>
      </c>
      <c r="C2" s="1"/>
      <c r="D2" s="1"/>
      <c r="E2" s="2"/>
      <c r="F2" s="3"/>
    </row>
    <row r="3" spans="1:6" x14ac:dyDescent="0.3">
      <c r="A3" s="4" t="s">
        <v>2</v>
      </c>
      <c r="B3" s="6" t="s">
        <v>159</v>
      </c>
      <c r="C3" s="1"/>
      <c r="D3" s="1"/>
      <c r="E3" s="2"/>
      <c r="F3" s="3"/>
    </row>
    <row r="4" spans="1:6" x14ac:dyDescent="0.3">
      <c r="A4" s="7" t="s">
        <v>3</v>
      </c>
      <c r="B4" s="8">
        <v>100</v>
      </c>
      <c r="C4" s="9"/>
      <c r="D4" s="10"/>
      <c r="E4" s="10"/>
    </row>
    <row r="5" spans="1:6" x14ac:dyDescent="0.3">
      <c r="A5" s="7" t="s">
        <v>4</v>
      </c>
      <c r="B5" s="11" t="s">
        <v>171</v>
      </c>
    </row>
    <row r="6" spans="1:6" x14ac:dyDescent="0.3">
      <c r="A6" s="7"/>
      <c r="B6" s="11"/>
    </row>
    <row r="7" spans="1:6" x14ac:dyDescent="0.3">
      <c r="A7" s="7" t="s">
        <v>5</v>
      </c>
      <c r="B7" s="12">
        <v>20</v>
      </c>
    </row>
    <row r="8" spans="1:6" x14ac:dyDescent="0.3">
      <c r="A8" s="7" t="s">
        <v>6</v>
      </c>
      <c r="B8" s="12">
        <f>B7</f>
        <v>20</v>
      </c>
    </row>
    <row r="9" spans="1:6" x14ac:dyDescent="0.3">
      <c r="A9" s="7" t="s">
        <v>7</v>
      </c>
      <c r="B9" s="12">
        <v>5</v>
      </c>
    </row>
    <row r="10" spans="1:6" x14ac:dyDescent="0.3">
      <c r="A10" s="7" t="s">
        <v>8</v>
      </c>
      <c r="B10" s="12">
        <f>B9</f>
        <v>5</v>
      </c>
    </row>
    <row r="11" spans="1:6" x14ac:dyDescent="0.3">
      <c r="A11" s="7"/>
      <c r="B11" s="11"/>
    </row>
    <row r="12" spans="1:6" x14ac:dyDescent="0.3">
      <c r="A12" s="7" t="s">
        <v>9</v>
      </c>
      <c r="B12" s="12">
        <v>3</v>
      </c>
    </row>
    <row r="13" spans="1:6" x14ac:dyDescent="0.3">
      <c r="A13" s="13"/>
      <c r="B13" s="11"/>
    </row>
    <row r="14" spans="1:6" x14ac:dyDescent="0.3">
      <c r="A14" s="7" t="s">
        <v>10</v>
      </c>
      <c r="B14" s="12">
        <v>10</v>
      </c>
    </row>
    <row r="15" spans="1:6" x14ac:dyDescent="0.3">
      <c r="A15" s="7" t="s">
        <v>11</v>
      </c>
      <c r="B15" s="12"/>
    </row>
    <row r="16" spans="1:6" x14ac:dyDescent="0.3">
      <c r="A16" s="7" t="s">
        <v>12</v>
      </c>
      <c r="B16" s="12"/>
    </row>
    <row r="17" spans="1:2" x14ac:dyDescent="0.3">
      <c r="A17" s="7" t="s">
        <v>12</v>
      </c>
      <c r="B17" s="12"/>
    </row>
    <row r="18" spans="1:2" x14ac:dyDescent="0.3">
      <c r="A18" s="13"/>
      <c r="B18" s="11"/>
    </row>
    <row r="19" spans="1:2" x14ac:dyDescent="0.3">
      <c r="A19" s="7" t="s">
        <v>13</v>
      </c>
      <c r="B19" s="14">
        <v>5000</v>
      </c>
    </row>
    <row r="20" spans="1:2" x14ac:dyDescent="0.3">
      <c r="A20" s="7"/>
      <c r="B20" s="11"/>
    </row>
    <row r="21" spans="1:2" x14ac:dyDescent="0.3">
      <c r="A21" s="7" t="s">
        <v>14</v>
      </c>
      <c r="B21" s="11">
        <v>1</v>
      </c>
    </row>
    <row r="22" spans="1:2" x14ac:dyDescent="0.3">
      <c r="A22" s="7"/>
      <c r="B22" s="11"/>
    </row>
    <row r="23" spans="1:2" x14ac:dyDescent="0.3">
      <c r="A23" s="7" t="s">
        <v>15</v>
      </c>
      <c r="B23" s="15">
        <f>ROUNDUP(SUM(B39:B40)/3.6*1.25*1,0)</f>
        <v>332</v>
      </c>
    </row>
    <row r="24" spans="1:2" x14ac:dyDescent="0.3">
      <c r="A24" s="7"/>
      <c r="B24" s="11"/>
    </row>
    <row r="25" spans="1:2" x14ac:dyDescent="0.3">
      <c r="A25" s="7" t="s">
        <v>16</v>
      </c>
      <c r="B25" s="11">
        <v>1</v>
      </c>
    </row>
    <row r="26" spans="1:2" x14ac:dyDescent="0.3">
      <c r="A26" s="7" t="s">
        <v>17</v>
      </c>
      <c r="B26" s="11">
        <v>1</v>
      </c>
    </row>
    <row r="27" spans="1:2" x14ac:dyDescent="0.3">
      <c r="A27" s="7"/>
      <c r="B27" s="11"/>
    </row>
    <row r="28" spans="1:2" x14ac:dyDescent="0.3">
      <c r="A28" s="7" t="s">
        <v>18</v>
      </c>
      <c r="B28" s="16">
        <v>25</v>
      </c>
    </row>
    <row r="29" spans="1:2" x14ac:dyDescent="0.3">
      <c r="A29" s="7" t="s">
        <v>19</v>
      </c>
      <c r="B29" s="17">
        <v>24</v>
      </c>
    </row>
    <row r="30" spans="1:2" x14ac:dyDescent="0.3">
      <c r="A30" s="7" t="s">
        <v>20</v>
      </c>
      <c r="B30" s="11" t="s">
        <v>21</v>
      </c>
    </row>
    <row r="31" spans="1:2" x14ac:dyDescent="0.3">
      <c r="A31" s="1"/>
      <c r="B31" s="18"/>
    </row>
    <row r="32" spans="1:2" x14ac:dyDescent="0.3">
      <c r="A32" s="19" t="s">
        <v>22</v>
      </c>
      <c r="B32" s="20">
        <v>3.9609999999999999</v>
      </c>
    </row>
    <row r="33" spans="1:2" x14ac:dyDescent="0.3">
      <c r="A33" s="19" t="s">
        <v>23</v>
      </c>
      <c r="B33" s="20">
        <v>2.5459999999999998</v>
      </c>
    </row>
    <row r="34" spans="1:2" x14ac:dyDescent="0.3">
      <c r="A34" s="19" t="s">
        <v>24</v>
      </c>
      <c r="B34" s="20">
        <v>1.145</v>
      </c>
    </row>
    <row r="35" spans="1:2" x14ac:dyDescent="0.3">
      <c r="A35" s="19" t="s">
        <v>25</v>
      </c>
      <c r="B35" s="20">
        <v>1.1200000000000001</v>
      </c>
    </row>
    <row r="37" spans="1:2" x14ac:dyDescent="0.3">
      <c r="A37" t="s">
        <v>26</v>
      </c>
      <c r="B37" s="20">
        <f>IF(B5="Eletrocentro",B35,IF(B5="Alvenaria",B33,"ERRO"))</f>
        <v>1.1200000000000001</v>
      </c>
    </row>
    <row r="38" spans="1:2" x14ac:dyDescent="0.3">
      <c r="A38" t="s">
        <v>27</v>
      </c>
      <c r="B38" s="20">
        <f>IF(B5="Eletrocentro",B34,IF(B5="Alvenaria",B32,"ERRO"))</f>
        <v>1.145</v>
      </c>
    </row>
    <row r="39" spans="1:2" x14ac:dyDescent="0.3">
      <c r="A39" t="s">
        <v>28</v>
      </c>
      <c r="B39" s="21">
        <f>(0.827*B25*0.0402*(POWER(B28,0.5))*3600)</f>
        <v>598.41720000000009</v>
      </c>
    </row>
    <row r="40" spans="1:2" x14ac:dyDescent="0.3">
      <c r="A40" t="s">
        <v>29</v>
      </c>
      <c r="B40" s="21">
        <f>(0.827*B26*0.024*(POWER(B28,0.5))*3600)</f>
        <v>357.26400000000001</v>
      </c>
    </row>
    <row r="42" spans="1:2" x14ac:dyDescent="0.3">
      <c r="A42" s="1" t="s">
        <v>30</v>
      </c>
    </row>
    <row r="43" spans="1:2" x14ac:dyDescent="0.3">
      <c r="A43" t="s">
        <v>31</v>
      </c>
    </row>
    <row r="44" spans="1:2" x14ac:dyDescent="0.3">
      <c r="A44" t="s">
        <v>32</v>
      </c>
    </row>
    <row r="45" spans="1:2" x14ac:dyDescent="0.3">
      <c r="A45" t="s">
        <v>33</v>
      </c>
    </row>
    <row r="46" spans="1:2" x14ac:dyDescent="0.3">
      <c r="A46" t="s">
        <v>34</v>
      </c>
    </row>
    <row r="47" spans="1:2" x14ac:dyDescent="0.3">
      <c r="A47" t="s">
        <v>35</v>
      </c>
    </row>
    <row r="48" spans="1:2" x14ac:dyDescent="0.3">
      <c r="A48" t="s">
        <v>36</v>
      </c>
    </row>
    <row r="50" spans="1:11" x14ac:dyDescent="0.3">
      <c r="A50" t="s">
        <v>37</v>
      </c>
    </row>
    <row r="51" spans="1:11" x14ac:dyDescent="0.3">
      <c r="A51" t="s">
        <v>38</v>
      </c>
    </row>
    <row r="52" spans="1:11" x14ac:dyDescent="0.3">
      <c r="A52" t="s">
        <v>39</v>
      </c>
    </row>
    <row r="54" spans="1:11" x14ac:dyDescent="0.3">
      <c r="A54" t="s">
        <v>40</v>
      </c>
    </row>
    <row r="57" spans="1:11" x14ac:dyDescent="0.3">
      <c r="A57" s="22"/>
      <c r="B57" s="23"/>
      <c r="C57" s="22"/>
      <c r="D57" s="22"/>
      <c r="E57" s="22"/>
      <c r="F57" s="22"/>
      <c r="H57" s="154" t="s">
        <v>239</v>
      </c>
      <c r="I57" s="154"/>
      <c r="J57" s="154"/>
      <c r="K57" s="154"/>
    </row>
    <row r="58" spans="1:11" x14ac:dyDescent="0.3">
      <c r="A58" s="162" t="s">
        <v>41</v>
      </c>
      <c r="B58" s="162"/>
      <c r="C58" s="162"/>
      <c r="D58" s="162"/>
      <c r="E58" s="162"/>
      <c r="F58" s="162"/>
      <c r="H58" s="154"/>
      <c r="I58" s="154"/>
      <c r="J58" s="154"/>
      <c r="K58" s="154"/>
    </row>
    <row r="59" spans="1:11" ht="32.4" customHeight="1" x14ac:dyDescent="0.3">
      <c r="A59" s="24"/>
      <c r="B59" s="125" t="s">
        <v>42</v>
      </c>
      <c r="C59" s="126" t="s">
        <v>43</v>
      </c>
      <c r="D59" s="122" t="s">
        <v>44</v>
      </c>
      <c r="E59" s="123" t="s">
        <v>45</v>
      </c>
      <c r="F59" s="124" t="s">
        <v>46</v>
      </c>
      <c r="H59" s="154"/>
      <c r="I59" s="154"/>
      <c r="J59" s="154"/>
      <c r="K59" s="154"/>
    </row>
    <row r="60" spans="1:11" x14ac:dyDescent="0.3">
      <c r="A60" s="19" t="s">
        <v>47</v>
      </c>
      <c r="B60" s="19"/>
      <c r="C60" s="136">
        <f>B4</f>
        <v>100</v>
      </c>
      <c r="D60" s="141">
        <f>B38</f>
        <v>1.145</v>
      </c>
      <c r="E60" s="141">
        <v>20</v>
      </c>
      <c r="F60" s="142">
        <f>C60*D60*E60</f>
        <v>2290</v>
      </c>
      <c r="G60" s="27"/>
      <c r="H60" s="137"/>
      <c r="I60" t="s">
        <v>42</v>
      </c>
    </row>
    <row r="61" spans="1:11" x14ac:dyDescent="0.3">
      <c r="A61" s="19" t="s">
        <v>5</v>
      </c>
      <c r="B61" s="129">
        <f>B7</f>
        <v>20</v>
      </c>
      <c r="C61" s="136">
        <f>B61*$B$12</f>
        <v>60</v>
      </c>
      <c r="D61" s="141">
        <f>$B$37</f>
        <v>1.1200000000000001</v>
      </c>
      <c r="E61" s="141">
        <v>13</v>
      </c>
      <c r="F61" s="142">
        <f t="shared" ref="F61:F64" si="0">C61*D61*E61</f>
        <v>873.6</v>
      </c>
      <c r="H61" s="138"/>
      <c r="I61" t="s">
        <v>240</v>
      </c>
    </row>
    <row r="62" spans="1:11" x14ac:dyDescent="0.3">
      <c r="A62" s="19" t="s">
        <v>6</v>
      </c>
      <c r="B62" s="129">
        <f>B8</f>
        <v>20</v>
      </c>
      <c r="C62" s="136">
        <f t="shared" ref="C62:C64" si="1">B62*$B$12</f>
        <v>60</v>
      </c>
      <c r="D62" s="141">
        <f t="shared" ref="D62:D64" si="2">$B$37</f>
        <v>1.1200000000000001</v>
      </c>
      <c r="E62" s="141">
        <v>13</v>
      </c>
      <c r="F62" s="142">
        <f t="shared" si="0"/>
        <v>873.6</v>
      </c>
      <c r="H62" s="139"/>
      <c r="I62" t="s">
        <v>241</v>
      </c>
    </row>
    <row r="63" spans="1:11" x14ac:dyDescent="0.3">
      <c r="A63" s="19" t="s">
        <v>7</v>
      </c>
      <c r="B63" s="129">
        <f>B9</f>
        <v>5</v>
      </c>
      <c r="C63" s="136">
        <f t="shared" si="1"/>
        <v>15</v>
      </c>
      <c r="D63" s="141">
        <f t="shared" si="2"/>
        <v>1.1200000000000001</v>
      </c>
      <c r="E63" s="141">
        <v>13</v>
      </c>
      <c r="F63" s="142">
        <f t="shared" si="0"/>
        <v>218.4</v>
      </c>
      <c r="H63" s="140"/>
      <c r="I63" t="s">
        <v>242</v>
      </c>
    </row>
    <row r="64" spans="1:11" x14ac:dyDescent="0.3">
      <c r="A64" s="19" t="s">
        <v>8</v>
      </c>
      <c r="B64" s="129">
        <f>B10</f>
        <v>5</v>
      </c>
      <c r="C64" s="136">
        <f t="shared" si="1"/>
        <v>15</v>
      </c>
      <c r="D64" s="141">
        <f t="shared" si="2"/>
        <v>1.1200000000000001</v>
      </c>
      <c r="E64" s="141">
        <v>13</v>
      </c>
      <c r="F64" s="142">
        <f t="shared" si="0"/>
        <v>218.4</v>
      </c>
    </row>
    <row r="65" spans="1:6" x14ac:dyDescent="0.3">
      <c r="A65" s="28" t="s">
        <v>48</v>
      </c>
      <c r="B65" s="28"/>
      <c r="C65" s="172">
        <f>ROUNDUP(SUM(F60:F64),0)</f>
        <v>4474</v>
      </c>
      <c r="D65" s="172"/>
      <c r="E65" s="172"/>
      <c r="F65" s="172"/>
    </row>
    <row r="66" spans="1:6" x14ac:dyDescent="0.3">
      <c r="A66" s="28" t="s">
        <v>49</v>
      </c>
      <c r="B66" s="28"/>
      <c r="C66" s="163"/>
      <c r="D66" s="163"/>
      <c r="E66" s="163"/>
      <c r="F66" s="163"/>
    </row>
    <row r="68" spans="1:6" x14ac:dyDescent="0.3">
      <c r="A68" s="162" t="s">
        <v>50</v>
      </c>
      <c r="B68" s="162"/>
      <c r="C68" s="162"/>
      <c r="D68" s="162"/>
      <c r="E68" s="162"/>
      <c r="F68" s="162"/>
    </row>
    <row r="69" spans="1:6" x14ac:dyDescent="0.3">
      <c r="A69" s="24"/>
      <c r="B69" s="125" t="s">
        <v>42</v>
      </c>
      <c r="C69" s="144" t="s">
        <v>51</v>
      </c>
      <c r="D69" s="127" t="s">
        <v>52</v>
      </c>
      <c r="E69" s="128" t="s">
        <v>53</v>
      </c>
      <c r="F69" s="143" t="s">
        <v>54</v>
      </c>
    </row>
    <row r="70" spans="1:6" x14ac:dyDescent="0.3">
      <c r="A70" s="19" t="s">
        <v>10</v>
      </c>
      <c r="B70" s="129">
        <f>B14</f>
        <v>10</v>
      </c>
      <c r="C70" s="136">
        <f>B70*$B$12</f>
        <v>30</v>
      </c>
      <c r="D70" s="141">
        <f>$B$37</f>
        <v>1.1200000000000001</v>
      </c>
      <c r="E70" s="141">
        <v>10</v>
      </c>
      <c r="F70" s="142">
        <f t="shared" ref="F70:F73" si="3">C70*D70*E70</f>
        <v>336</v>
      </c>
    </row>
    <row r="71" spans="1:6" x14ac:dyDescent="0.3">
      <c r="A71" s="19" t="s">
        <v>11</v>
      </c>
      <c r="B71" s="129">
        <f>B15</f>
        <v>0</v>
      </c>
      <c r="C71" s="136">
        <f t="shared" ref="C71:C73" si="4">B71*$B$12</f>
        <v>0</v>
      </c>
      <c r="D71" s="141">
        <f t="shared" ref="D71:D73" si="5">$B$37</f>
        <v>1.1200000000000001</v>
      </c>
      <c r="E71" s="141">
        <v>10</v>
      </c>
      <c r="F71" s="142">
        <f t="shared" si="3"/>
        <v>0</v>
      </c>
    </row>
    <row r="72" spans="1:6" x14ac:dyDescent="0.3">
      <c r="A72" s="19" t="s">
        <v>12</v>
      </c>
      <c r="B72" s="129">
        <f>B16</f>
        <v>0</v>
      </c>
      <c r="C72" s="136">
        <f t="shared" si="4"/>
        <v>0</v>
      </c>
      <c r="D72" s="141">
        <f t="shared" si="5"/>
        <v>1.1200000000000001</v>
      </c>
      <c r="E72" s="141">
        <v>3</v>
      </c>
      <c r="F72" s="142">
        <f t="shared" si="3"/>
        <v>0</v>
      </c>
    </row>
    <row r="73" spans="1:6" x14ac:dyDescent="0.3">
      <c r="A73" s="19" t="s">
        <v>12</v>
      </c>
      <c r="B73" s="129">
        <f>B17</f>
        <v>0</v>
      </c>
      <c r="C73" s="136">
        <f t="shared" si="4"/>
        <v>0</v>
      </c>
      <c r="D73" s="141">
        <f t="shared" si="5"/>
        <v>1.1200000000000001</v>
      </c>
      <c r="E73" s="141">
        <v>3</v>
      </c>
      <c r="F73" s="142">
        <f t="shared" si="3"/>
        <v>0</v>
      </c>
    </row>
    <row r="74" spans="1:6" x14ac:dyDescent="0.3">
      <c r="A74" s="28" t="s">
        <v>55</v>
      </c>
      <c r="B74" s="28"/>
      <c r="C74" s="172">
        <f>ROUNDUP(SUM(F70:F73),0)</f>
        <v>336</v>
      </c>
      <c r="D74" s="172"/>
      <c r="E74" s="172"/>
      <c r="F74" s="172"/>
    </row>
    <row r="75" spans="1:6" x14ac:dyDescent="0.3">
      <c r="A75" s="28" t="s">
        <v>49</v>
      </c>
      <c r="B75" s="30"/>
      <c r="C75" s="164"/>
      <c r="D75" s="165"/>
      <c r="E75" s="165"/>
      <c r="F75" s="166"/>
    </row>
    <row r="77" spans="1:6" x14ac:dyDescent="0.3">
      <c r="A77" s="162" t="s">
        <v>56</v>
      </c>
      <c r="B77" s="162"/>
      <c r="C77" s="162"/>
      <c r="D77" s="162"/>
      <c r="E77" s="162"/>
      <c r="F77" s="162"/>
    </row>
    <row r="78" spans="1:6" ht="28.8" x14ac:dyDescent="0.3">
      <c r="A78" s="24"/>
      <c r="B78" s="24"/>
      <c r="C78" s="125" t="s">
        <v>57</v>
      </c>
      <c r="D78" s="122" t="s">
        <v>58</v>
      </c>
      <c r="E78" s="123" t="s">
        <v>59</v>
      </c>
      <c r="F78" s="124" t="s">
        <v>60</v>
      </c>
    </row>
    <row r="79" spans="1:6" x14ac:dyDescent="0.3">
      <c r="A79" s="19" t="s">
        <v>61</v>
      </c>
      <c r="B79" s="19"/>
      <c r="C79" s="145">
        <f>B4</f>
        <v>100</v>
      </c>
      <c r="D79" s="141">
        <v>2.7</v>
      </c>
      <c r="E79" s="141">
        <v>7.5</v>
      </c>
      <c r="F79" s="142">
        <f>C79*D79*E79</f>
        <v>2025</v>
      </c>
    </row>
    <row r="80" spans="1:6" x14ac:dyDescent="0.3">
      <c r="A80" s="28" t="s">
        <v>62</v>
      </c>
      <c r="B80" s="28"/>
      <c r="C80" s="172">
        <f>ROUNDUP(F79,0)</f>
        <v>2025</v>
      </c>
      <c r="D80" s="172"/>
      <c r="E80" s="172"/>
      <c r="F80" s="172"/>
    </row>
    <row r="81" spans="1:7" x14ac:dyDescent="0.3">
      <c r="A81" s="28" t="s">
        <v>49</v>
      </c>
      <c r="B81" s="28"/>
      <c r="C81" s="163"/>
      <c r="D81" s="163"/>
      <c r="E81" s="163"/>
      <c r="F81" s="163"/>
    </row>
    <row r="83" spans="1:7" x14ac:dyDescent="0.3">
      <c r="A83" s="162" t="s">
        <v>63</v>
      </c>
      <c r="B83" s="162"/>
      <c r="C83" s="162"/>
      <c r="D83" s="162"/>
      <c r="E83" s="162"/>
      <c r="F83" s="162"/>
    </row>
    <row r="84" spans="1:7" ht="28.8" x14ac:dyDescent="0.3">
      <c r="A84" s="28"/>
      <c r="B84" s="28"/>
      <c r="C84" s="125" t="s">
        <v>43</v>
      </c>
      <c r="D84" s="127" t="s">
        <v>64</v>
      </c>
      <c r="E84" s="127" t="s">
        <v>65</v>
      </c>
      <c r="F84" s="131" t="s">
        <v>60</v>
      </c>
    </row>
    <row r="85" spans="1:7" x14ac:dyDescent="0.3">
      <c r="A85" s="31" t="s">
        <v>66</v>
      </c>
      <c r="B85" s="26"/>
      <c r="C85" s="149">
        <f>B4</f>
        <v>100</v>
      </c>
      <c r="D85" s="148">
        <v>7</v>
      </c>
      <c r="E85" s="148">
        <v>1</v>
      </c>
      <c r="F85" s="146">
        <f>C85*D85*E85</f>
        <v>700</v>
      </c>
    </row>
    <row r="86" spans="1:7" x14ac:dyDescent="0.3">
      <c r="A86" s="32" t="s">
        <v>55</v>
      </c>
      <c r="B86" s="28"/>
      <c r="C86" s="163">
        <f>ROUNDUP(F85,0)</f>
        <v>700</v>
      </c>
      <c r="D86" s="163"/>
      <c r="E86" s="163"/>
      <c r="F86" s="163"/>
    </row>
    <row r="88" spans="1:7" x14ac:dyDescent="0.3">
      <c r="A88" s="162" t="s">
        <v>67</v>
      </c>
      <c r="B88" s="162"/>
      <c r="C88" s="162"/>
      <c r="D88" s="162"/>
      <c r="E88" s="162"/>
      <c r="F88" s="162"/>
    </row>
    <row r="89" spans="1:7" ht="28.8" x14ac:dyDescent="0.3">
      <c r="A89" s="33"/>
      <c r="B89" s="24"/>
      <c r="C89" s="127" t="s">
        <v>68</v>
      </c>
      <c r="D89" s="125" t="s">
        <v>69</v>
      </c>
      <c r="E89" s="127" t="s">
        <v>65</v>
      </c>
      <c r="F89" s="131" t="s">
        <v>70</v>
      </c>
    </row>
    <row r="90" spans="1:7" x14ac:dyDescent="0.3">
      <c r="A90" s="34" t="s">
        <v>71</v>
      </c>
      <c r="B90" s="19"/>
      <c r="C90" s="31">
        <v>1</v>
      </c>
      <c r="D90" s="147">
        <f>B19</f>
        <v>5000</v>
      </c>
      <c r="E90" s="148">
        <v>100</v>
      </c>
      <c r="F90" s="146">
        <f>C90*D90*E90/100</f>
        <v>5000</v>
      </c>
    </row>
    <row r="91" spans="1:7" x14ac:dyDescent="0.3">
      <c r="A91" s="32" t="s">
        <v>55</v>
      </c>
      <c r="B91" s="28"/>
      <c r="C91" s="163">
        <f>ROUNDUP(F90,0)</f>
        <v>5000</v>
      </c>
      <c r="D91" s="163"/>
      <c r="E91" s="163"/>
      <c r="F91" s="163"/>
    </row>
    <row r="93" spans="1:7" x14ac:dyDescent="0.3">
      <c r="A93" s="162" t="s">
        <v>72</v>
      </c>
      <c r="B93" s="162"/>
      <c r="C93" s="162"/>
      <c r="D93" s="162"/>
      <c r="E93" s="162"/>
      <c r="F93" s="162"/>
      <c r="G93" s="162"/>
    </row>
    <row r="94" spans="1:7" x14ac:dyDescent="0.3">
      <c r="A94" s="31"/>
      <c r="B94" s="26"/>
      <c r="C94" s="127" t="s">
        <v>73</v>
      </c>
      <c r="D94" s="127" t="s">
        <v>74</v>
      </c>
      <c r="E94" s="129" t="s">
        <v>75</v>
      </c>
      <c r="F94" s="127" t="s">
        <v>65</v>
      </c>
      <c r="G94" s="28" t="s">
        <v>54</v>
      </c>
    </row>
    <row r="95" spans="1:7" x14ac:dyDescent="0.3">
      <c r="A95" s="34" t="s">
        <v>76</v>
      </c>
      <c r="B95" s="19"/>
      <c r="C95" s="31">
        <v>86.5</v>
      </c>
      <c r="D95" s="31">
        <v>133.30000000000001</v>
      </c>
      <c r="E95" s="31">
        <f>B21</f>
        <v>1</v>
      </c>
      <c r="F95" s="31">
        <v>100</v>
      </c>
      <c r="G95" s="31">
        <f>(C95*E95*F95/100)+(D95*E95*F95/100)</f>
        <v>219.8</v>
      </c>
    </row>
    <row r="96" spans="1:7" x14ac:dyDescent="0.3">
      <c r="A96" s="34" t="s">
        <v>55</v>
      </c>
      <c r="B96" s="35"/>
      <c r="C96" s="164">
        <f>ROUNDUP(G95,0)</f>
        <v>220</v>
      </c>
      <c r="D96" s="165"/>
      <c r="E96" s="165"/>
      <c r="F96" s="165"/>
      <c r="G96" s="166"/>
    </row>
    <row r="98" spans="1:10" x14ac:dyDescent="0.3">
      <c r="A98" s="162" t="s">
        <v>77</v>
      </c>
      <c r="B98" s="162"/>
      <c r="C98" s="162"/>
      <c r="D98" s="162"/>
      <c r="E98" s="162"/>
      <c r="F98" s="162"/>
      <c r="G98" s="162"/>
      <c r="H98" s="162"/>
      <c r="I98" s="162"/>
      <c r="J98" s="162"/>
    </row>
    <row r="99" spans="1:10" x14ac:dyDescent="0.3">
      <c r="A99" s="31"/>
      <c r="B99" s="26"/>
      <c r="C99" s="29" t="s">
        <v>78</v>
      </c>
      <c r="D99" s="128" t="s">
        <v>79</v>
      </c>
      <c r="E99" s="128" t="s">
        <v>53</v>
      </c>
      <c r="F99" s="130" t="s">
        <v>54</v>
      </c>
      <c r="G99" s="28" t="s">
        <v>80</v>
      </c>
      <c r="H99" s="28" t="s">
        <v>81</v>
      </c>
      <c r="I99" s="28" t="s">
        <v>82</v>
      </c>
      <c r="J99" s="28" t="s">
        <v>83</v>
      </c>
    </row>
    <row r="100" spans="1:10" x14ac:dyDescent="0.3">
      <c r="A100" s="34" t="s">
        <v>84</v>
      </c>
      <c r="B100" s="19"/>
      <c r="C100" s="31">
        <f>J100</f>
        <v>1398384</v>
      </c>
      <c r="D100" s="31">
        <v>0.24</v>
      </c>
      <c r="E100" s="31">
        <v>10</v>
      </c>
      <c r="F100" s="31">
        <f>C100*D100*E100/1000*1.16</f>
        <v>3893.1010559999991</v>
      </c>
      <c r="G100" s="31">
        <f>B23</f>
        <v>332</v>
      </c>
      <c r="H100" s="31">
        <f>G100*3.6</f>
        <v>1195.2</v>
      </c>
      <c r="I100" s="31">
        <f>H100*1.17</f>
        <v>1398.384</v>
      </c>
      <c r="J100" s="31">
        <f>I100*1000</f>
        <v>1398384</v>
      </c>
    </row>
    <row r="101" spans="1:10" x14ac:dyDescent="0.3">
      <c r="A101" s="32" t="s">
        <v>55</v>
      </c>
      <c r="B101" s="36"/>
      <c r="C101" s="167">
        <f>ROUNDUP(F100,0)</f>
        <v>3894</v>
      </c>
      <c r="D101" s="168"/>
      <c r="E101" s="168"/>
      <c r="F101" s="168"/>
      <c r="G101" s="168"/>
      <c r="H101" s="168"/>
      <c r="I101" s="168"/>
      <c r="J101" s="168"/>
    </row>
    <row r="103" spans="1:10" x14ac:dyDescent="0.3">
      <c r="A103" s="162" t="s">
        <v>85</v>
      </c>
      <c r="B103" s="162"/>
      <c r="C103" s="162"/>
      <c r="D103" s="162"/>
      <c r="E103" s="162"/>
      <c r="F103" s="162"/>
    </row>
    <row r="104" spans="1:10" ht="28.8" x14ac:dyDescent="0.3">
      <c r="A104" s="31"/>
      <c r="B104" s="26"/>
      <c r="C104" s="25" t="s">
        <v>86</v>
      </c>
      <c r="D104" s="128" t="s">
        <v>87</v>
      </c>
      <c r="E104" s="123" t="s">
        <v>88</v>
      </c>
      <c r="F104" s="131" t="s">
        <v>60</v>
      </c>
    </row>
    <row r="105" spans="1:10" x14ac:dyDescent="0.3">
      <c r="A105" s="34" t="s">
        <v>89</v>
      </c>
      <c r="B105" s="19"/>
      <c r="C105" s="31">
        <f>G100</f>
        <v>332</v>
      </c>
      <c r="D105" s="31">
        <v>3.01</v>
      </c>
      <c r="E105" s="31">
        <v>8.4700000000000006</v>
      </c>
      <c r="F105" s="37">
        <f>C105*D105*E105</f>
        <v>8464.2404000000006</v>
      </c>
    </row>
    <row r="106" spans="1:10" x14ac:dyDescent="0.3">
      <c r="A106" s="32" t="s">
        <v>55</v>
      </c>
      <c r="B106" s="28"/>
      <c r="C106" s="163">
        <f>ROUNDUP(F105,0)</f>
        <v>8465</v>
      </c>
      <c r="D106" s="163"/>
      <c r="E106" s="163"/>
      <c r="F106" s="163"/>
    </row>
    <row r="108" spans="1:10" hidden="1" x14ac:dyDescent="0.3">
      <c r="A108" s="31"/>
      <c r="B108" s="26"/>
      <c r="C108" s="28" t="s">
        <v>73</v>
      </c>
      <c r="D108" s="28" t="s">
        <v>74</v>
      </c>
      <c r="E108" s="28" t="s">
        <v>75</v>
      </c>
      <c r="F108" s="28" t="s">
        <v>65</v>
      </c>
      <c r="G108" s="28" t="s">
        <v>54</v>
      </c>
    </row>
    <row r="109" spans="1:10" hidden="1" x14ac:dyDescent="0.3">
      <c r="A109" s="34" t="s">
        <v>76</v>
      </c>
      <c r="B109" s="19"/>
      <c r="C109" s="31">
        <v>86.5</v>
      </c>
      <c r="D109" s="31">
        <v>133.30000000000001</v>
      </c>
      <c r="E109" s="31">
        <v>3</v>
      </c>
      <c r="F109" s="31">
        <v>100</v>
      </c>
      <c r="G109" s="31">
        <f>(C109*E109*F109/100)+(D109*E109*F109/100)</f>
        <v>659.4</v>
      </c>
    </row>
    <row r="110" spans="1:10" hidden="1" x14ac:dyDescent="0.3">
      <c r="A110" s="34" t="s">
        <v>55</v>
      </c>
      <c r="B110" s="35"/>
      <c r="C110" s="164">
        <f>G109</f>
        <v>659.4</v>
      </c>
      <c r="D110" s="165"/>
      <c r="E110" s="165"/>
      <c r="F110" s="165"/>
      <c r="G110" s="166"/>
    </row>
    <row r="111" spans="1:10" hidden="1" x14ac:dyDescent="0.3"/>
    <row r="113" spans="1:8" x14ac:dyDescent="0.3">
      <c r="A113" s="169" t="s">
        <v>90</v>
      </c>
      <c r="B113" s="169"/>
      <c r="C113" s="169"/>
      <c r="D113" s="169"/>
      <c r="E113" s="169"/>
      <c r="F113" s="169"/>
    </row>
    <row r="114" spans="1:8" x14ac:dyDescent="0.3">
      <c r="A114" s="28" t="s">
        <v>91</v>
      </c>
      <c r="B114" s="28"/>
      <c r="C114" s="159">
        <f>C65</f>
        <v>4474</v>
      </c>
      <c r="D114" s="159"/>
      <c r="E114" s="159"/>
      <c r="F114" s="159"/>
    </row>
    <row r="115" spans="1:8" x14ac:dyDescent="0.3">
      <c r="A115" s="28" t="s">
        <v>92</v>
      </c>
      <c r="B115" s="28"/>
      <c r="C115" s="159">
        <f>C74</f>
        <v>336</v>
      </c>
      <c r="D115" s="159"/>
      <c r="E115" s="159"/>
      <c r="F115" s="159"/>
    </row>
    <row r="116" spans="1:8" x14ac:dyDescent="0.3">
      <c r="A116" s="28" t="s">
        <v>62</v>
      </c>
      <c r="B116" s="28"/>
      <c r="C116" s="159">
        <f>C80</f>
        <v>2025</v>
      </c>
      <c r="D116" s="159"/>
      <c r="E116" s="159"/>
      <c r="F116" s="159"/>
    </row>
    <row r="117" spans="1:8" x14ac:dyDescent="0.3">
      <c r="A117" s="32" t="s">
        <v>93</v>
      </c>
      <c r="B117" s="28"/>
      <c r="C117" s="160">
        <f>C86</f>
        <v>700</v>
      </c>
      <c r="D117" s="160"/>
      <c r="E117" s="160"/>
      <c r="F117" s="160"/>
    </row>
    <row r="118" spans="1:8" x14ac:dyDescent="0.3">
      <c r="A118" s="32" t="s">
        <v>94</v>
      </c>
      <c r="B118" s="28"/>
      <c r="C118" s="160">
        <f>C91</f>
        <v>5000</v>
      </c>
      <c r="D118" s="160"/>
      <c r="E118" s="160"/>
      <c r="F118" s="160"/>
    </row>
    <row r="119" spans="1:8" x14ac:dyDescent="0.3">
      <c r="A119" s="32" t="s">
        <v>95</v>
      </c>
      <c r="B119" s="28"/>
      <c r="C119" s="160">
        <f>C96</f>
        <v>220</v>
      </c>
      <c r="D119" s="160"/>
      <c r="E119" s="160"/>
      <c r="F119" s="160"/>
    </row>
    <row r="120" spans="1:8" x14ac:dyDescent="0.3">
      <c r="A120" s="32" t="s">
        <v>96</v>
      </c>
      <c r="B120" s="28"/>
      <c r="C120" s="160">
        <f>SUM(C101,C106)</f>
        <v>12359</v>
      </c>
      <c r="D120" s="160"/>
      <c r="E120" s="160"/>
      <c r="F120" s="160"/>
    </row>
    <row r="121" spans="1:8" x14ac:dyDescent="0.3">
      <c r="A121" s="38" t="s">
        <v>97</v>
      </c>
      <c r="B121" s="39"/>
      <c r="C121" s="161">
        <f>SUM(C114:F120)</f>
        <v>25114</v>
      </c>
      <c r="D121" s="161"/>
      <c r="E121" s="161"/>
      <c r="F121" s="161"/>
      <c r="H121" s="40"/>
    </row>
    <row r="122" spans="1:8" x14ac:dyDescent="0.3">
      <c r="A122" s="41" t="s">
        <v>98</v>
      </c>
      <c r="B122" s="42"/>
      <c r="C122" s="155">
        <f>ROUNDUP(C121/3517,2)</f>
        <v>7.1499999999999995</v>
      </c>
      <c r="D122" s="156"/>
      <c r="E122" s="156"/>
      <c r="F122" s="157"/>
      <c r="H122" s="40"/>
    </row>
    <row r="123" spans="1:8" x14ac:dyDescent="0.3">
      <c r="A123" s="38" t="s">
        <v>98</v>
      </c>
      <c r="B123" s="39"/>
      <c r="C123" s="158">
        <f>ROUNDUP(C121/3517,0)</f>
        <v>8</v>
      </c>
      <c r="D123" s="158"/>
      <c r="E123" s="158"/>
      <c r="F123" s="158"/>
    </row>
    <row r="124" spans="1:8" x14ac:dyDescent="0.3">
      <c r="A124" s="22"/>
      <c r="B124" s="23"/>
      <c r="C124" s="22"/>
      <c r="D124" s="22"/>
      <c r="E124" s="22"/>
      <c r="F124" s="22"/>
    </row>
    <row r="125" spans="1:8" x14ac:dyDescent="0.3">
      <c r="C125" t="s">
        <v>99</v>
      </c>
    </row>
    <row r="126" spans="1:8" x14ac:dyDescent="0.3">
      <c r="C126" t="s">
        <v>100</v>
      </c>
    </row>
    <row r="127" spans="1:8" x14ac:dyDescent="0.3">
      <c r="C127">
        <f>456/1000*60*60*1.14</f>
        <v>1871.4239999999998</v>
      </c>
      <c r="D127" t="s">
        <v>101</v>
      </c>
    </row>
    <row r="128" spans="1:8" x14ac:dyDescent="0.3">
      <c r="A128" t="s">
        <v>102</v>
      </c>
    </row>
    <row r="129" spans="1:12" x14ac:dyDescent="0.3">
      <c r="A129" t="s">
        <v>103</v>
      </c>
      <c r="C129" t="s">
        <v>104</v>
      </c>
      <c r="F129" t="s">
        <v>105</v>
      </c>
      <c r="H129" t="s">
        <v>106</v>
      </c>
      <c r="I129" t="s">
        <v>107</v>
      </c>
      <c r="K129">
        <f>(1000/453.59)*4.5</f>
        <v>9.9208536343393803</v>
      </c>
    </row>
    <row r="130" spans="1:12" x14ac:dyDescent="0.3">
      <c r="A130" t="s">
        <v>108</v>
      </c>
      <c r="C130" t="s">
        <v>109</v>
      </c>
      <c r="F130" t="s">
        <v>110</v>
      </c>
      <c r="H130" t="s">
        <v>106</v>
      </c>
      <c r="I130" t="s">
        <v>111</v>
      </c>
      <c r="K130">
        <f>(1000/453.59)*8.34</f>
        <v>18.386648735642318</v>
      </c>
    </row>
    <row r="131" spans="1:12" x14ac:dyDescent="0.3">
      <c r="K131">
        <f>K130-K129</f>
        <v>8.4657951013029376</v>
      </c>
      <c r="L131" t="s">
        <v>112</v>
      </c>
    </row>
    <row r="132" spans="1:12" x14ac:dyDescent="0.3">
      <c r="A132" t="s">
        <v>113</v>
      </c>
    </row>
    <row r="133" spans="1:12" x14ac:dyDescent="0.3">
      <c r="A133" t="s">
        <v>114</v>
      </c>
    </row>
    <row r="134" spans="1:12" x14ac:dyDescent="0.3">
      <c r="A134" t="s">
        <v>115</v>
      </c>
      <c r="C134">
        <f>456*3.01*8.47</f>
        <v>11625.583200000001</v>
      </c>
    </row>
  </sheetData>
  <mergeCells count="33">
    <mergeCell ref="C86:F86"/>
    <mergeCell ref="A1:B1"/>
    <mergeCell ref="A58:F58"/>
    <mergeCell ref="C65:F65"/>
    <mergeCell ref="C66:F66"/>
    <mergeCell ref="A68:F68"/>
    <mergeCell ref="C74:F74"/>
    <mergeCell ref="C75:F75"/>
    <mergeCell ref="A77:F77"/>
    <mergeCell ref="C80:F80"/>
    <mergeCell ref="C81:F81"/>
    <mergeCell ref="A83:F83"/>
    <mergeCell ref="A103:F103"/>
    <mergeCell ref="C106:F106"/>
    <mergeCell ref="C110:G110"/>
    <mergeCell ref="A113:F113"/>
    <mergeCell ref="C114:F114"/>
    <mergeCell ref="H57:K59"/>
    <mergeCell ref="C122:F122"/>
    <mergeCell ref="C123:F123"/>
    <mergeCell ref="C116:F116"/>
    <mergeCell ref="C117:F117"/>
    <mergeCell ref="C118:F118"/>
    <mergeCell ref="C119:F119"/>
    <mergeCell ref="C120:F120"/>
    <mergeCell ref="C121:F121"/>
    <mergeCell ref="C115:F115"/>
    <mergeCell ref="A88:F88"/>
    <mergeCell ref="C91:F91"/>
    <mergeCell ref="A93:G93"/>
    <mergeCell ref="C96:G96"/>
    <mergeCell ref="A98:J98"/>
    <mergeCell ref="C101:J101"/>
  </mergeCells>
  <dataValidations disablePrompts="1" count="2">
    <dataValidation type="list" allowBlank="1" showInputMessage="1" showErrorMessage="1" sqref="B30" xr:uid="{5D1F8327-8803-4F86-88E7-30D8BB8B2344}">
      <formula1>"Manual/Detecção,FM200,NOVEC,FirePRO,N/I,"</formula1>
    </dataValidation>
    <dataValidation type="list" allowBlank="1" showInputMessage="1" showErrorMessage="1" sqref="B5" xr:uid="{4021221D-DB72-4250-B8A9-673B2BB18AAD}">
      <formula1>"Alvenaria, Eletrocentro,"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2]!CargaEstimada">
                <anchor moveWithCells="1" sizeWithCells="1">
                  <from>
                    <xdr:col>2</xdr:col>
                    <xdr:colOff>167640</xdr:colOff>
                    <xdr:row>0</xdr:row>
                    <xdr:rowOff>45720</xdr:rowOff>
                  </from>
                  <to>
                    <xdr:col>2</xdr:col>
                    <xdr:colOff>1135380</xdr:colOff>
                    <xdr:row>29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4C0C-F39B-439C-AB2E-2AB160CE2F01}">
  <sheetPr codeName="Planilha6"/>
  <dimension ref="A1:AC49"/>
  <sheetViews>
    <sheetView zoomScaleNormal="100" zoomScaleSheetLayoutView="100" workbookViewId="0">
      <selection activeCell="N21" sqref="N21"/>
    </sheetView>
  </sheetViews>
  <sheetFormatPr defaultRowHeight="14.4" x14ac:dyDescent="0.3"/>
  <cols>
    <col min="1" max="1" width="10.109375" customWidth="1"/>
    <col min="3" max="5" width="11.6640625" customWidth="1"/>
    <col min="6" max="6" width="13.5546875" bestFit="1" customWidth="1"/>
    <col min="7" max="10" width="11.6640625" customWidth="1"/>
    <col min="11" max="11" width="19.33203125" bestFit="1" customWidth="1"/>
    <col min="12" max="12" width="11.6640625" customWidth="1"/>
    <col min="13" max="13" width="2.44140625" style="22" customWidth="1"/>
    <col min="14" max="14" width="14.44140625" bestFit="1" customWidth="1"/>
    <col min="15" max="15" width="14.44140625" customWidth="1"/>
    <col min="18" max="18" width="12.44140625" style="48" bestFit="1" customWidth="1"/>
    <col min="20" max="20" width="10.6640625" customWidth="1"/>
  </cols>
  <sheetData>
    <row r="1" spans="1:29" ht="20.399999999999999" thickBot="1" x14ac:dyDescent="0.45">
      <c r="A1" s="222" t="s">
        <v>116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4"/>
      <c r="N1" s="222" t="s">
        <v>117</v>
      </c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4"/>
      <c r="AA1" s="45"/>
      <c r="AB1" s="46"/>
      <c r="AC1" s="46"/>
    </row>
    <row r="2" spans="1:29" ht="15" customHeight="1" x14ac:dyDescent="0.3">
      <c r="A2" s="225"/>
      <c r="B2" s="226"/>
      <c r="C2" s="47" t="s">
        <v>118</v>
      </c>
      <c r="D2" s="179"/>
      <c r="E2" s="205"/>
      <c r="F2" s="205"/>
      <c r="G2" s="205"/>
      <c r="H2" s="229" t="s">
        <v>119</v>
      </c>
      <c r="I2" s="230"/>
      <c r="J2" s="230"/>
      <c r="K2" s="230"/>
      <c r="L2" s="231"/>
    </row>
    <row r="3" spans="1:29" ht="15" customHeight="1" x14ac:dyDescent="0.3">
      <c r="A3" s="227"/>
      <c r="B3" s="228"/>
      <c r="C3" s="47" t="s">
        <v>120</v>
      </c>
      <c r="D3" s="179"/>
      <c r="E3" s="205"/>
      <c r="F3" s="205"/>
      <c r="G3" s="205"/>
      <c r="H3" s="229"/>
      <c r="I3" s="230"/>
      <c r="J3" s="230"/>
      <c r="K3" s="230"/>
      <c r="L3" s="231"/>
    </row>
    <row r="4" spans="1:29" ht="15" customHeight="1" x14ac:dyDescent="0.3">
      <c r="A4" s="227"/>
      <c r="B4" s="228"/>
      <c r="C4" s="47" t="s">
        <v>121</v>
      </c>
      <c r="D4" s="179"/>
      <c r="E4" s="205"/>
      <c r="F4" s="205"/>
      <c r="G4" s="205"/>
      <c r="H4" s="229"/>
      <c r="I4" s="230"/>
      <c r="J4" s="230"/>
      <c r="K4" s="230"/>
      <c r="L4" s="231"/>
    </row>
    <row r="5" spans="1:29" ht="15" customHeight="1" x14ac:dyDescent="0.3">
      <c r="A5" s="227"/>
      <c r="B5" s="228"/>
      <c r="C5" s="47" t="s">
        <v>122</v>
      </c>
      <c r="D5" s="232">
        <f ca="1">TODAY()</f>
        <v>45933</v>
      </c>
      <c r="E5" s="233"/>
      <c r="F5" s="233"/>
      <c r="G5" s="233"/>
      <c r="H5" s="229"/>
      <c r="I5" s="230"/>
      <c r="J5" s="230"/>
      <c r="K5" s="230"/>
      <c r="L5" s="231"/>
    </row>
    <row r="6" spans="1:29" ht="7.5" customHeight="1" x14ac:dyDescent="0.3">
      <c r="A6" s="49"/>
      <c r="B6" s="50"/>
      <c r="C6" s="51"/>
      <c r="D6" s="51"/>
      <c r="E6" s="52"/>
      <c r="F6" s="52"/>
      <c r="G6" s="52"/>
      <c r="H6" s="52"/>
      <c r="I6" s="52"/>
      <c r="J6" s="52"/>
      <c r="K6" s="53"/>
      <c r="L6" s="54"/>
    </row>
    <row r="7" spans="1:29" ht="15" customHeight="1" x14ac:dyDescent="0.3">
      <c r="A7" s="55" t="s">
        <v>123</v>
      </c>
      <c r="B7" s="179" t="s">
        <v>124</v>
      </c>
      <c r="C7" s="205"/>
      <c r="D7" s="205"/>
      <c r="E7" s="205"/>
      <c r="F7" s="205"/>
      <c r="G7" s="205"/>
      <c r="H7" s="206"/>
      <c r="I7" s="56"/>
      <c r="J7" s="57" t="s">
        <v>125</v>
      </c>
      <c r="K7" s="57" t="s">
        <v>126</v>
      </c>
      <c r="L7" s="58" t="s">
        <v>127</v>
      </c>
    </row>
    <row r="8" spans="1:29" ht="15" customHeight="1" x14ac:dyDescent="0.3">
      <c r="A8" s="55" t="s">
        <v>128</v>
      </c>
      <c r="B8" s="209" t="s">
        <v>129</v>
      </c>
      <c r="C8" s="210"/>
      <c r="D8" s="210"/>
      <c r="E8" s="210"/>
      <c r="F8" s="210"/>
      <c r="G8" s="210"/>
      <c r="H8" s="211"/>
      <c r="I8" s="60"/>
      <c r="J8" s="61" t="s">
        <v>130</v>
      </c>
      <c r="K8" s="57" t="s">
        <v>131</v>
      </c>
      <c r="L8" s="62">
        <f ca="1">TODAY()</f>
        <v>45933</v>
      </c>
    </row>
    <row r="9" spans="1:29" ht="15" customHeight="1" x14ac:dyDescent="0.3">
      <c r="A9" s="63" t="s">
        <v>132</v>
      </c>
      <c r="B9" s="212"/>
      <c r="C9" s="213"/>
      <c r="D9" s="213"/>
      <c r="E9" s="213"/>
      <c r="F9" s="213"/>
      <c r="G9" s="213"/>
      <c r="H9" s="214"/>
      <c r="I9" s="64"/>
      <c r="J9" s="65"/>
      <c r="K9" s="66"/>
      <c r="L9" s="67"/>
    </row>
    <row r="10" spans="1:29" ht="15" customHeight="1" x14ac:dyDescent="0.3">
      <c r="A10" s="215" t="s">
        <v>133</v>
      </c>
      <c r="B10" s="215"/>
      <c r="C10" s="68" t="s">
        <v>131</v>
      </c>
      <c r="D10" s="217" t="s">
        <v>134</v>
      </c>
      <c r="E10" s="217"/>
      <c r="F10" s="217"/>
      <c r="G10" s="68" t="s">
        <v>135</v>
      </c>
      <c r="H10" s="68" t="s">
        <v>136</v>
      </c>
      <c r="I10" s="68" t="s">
        <v>137</v>
      </c>
      <c r="J10" s="69" t="s">
        <v>138</v>
      </c>
      <c r="K10" s="69" t="s">
        <v>139</v>
      </c>
      <c r="L10" s="69" t="s">
        <v>140</v>
      </c>
    </row>
    <row r="11" spans="1:29" ht="15" customHeight="1" x14ac:dyDescent="0.3">
      <c r="A11" s="215"/>
      <c r="B11" s="215"/>
      <c r="C11" s="70" t="s">
        <v>141</v>
      </c>
      <c r="D11" s="218" t="s">
        <v>142</v>
      </c>
      <c r="E11" s="218"/>
      <c r="F11" s="218"/>
      <c r="G11" s="71">
        <f>'[2]AUX4 - Dados Ambientais (2)'!E12</f>
        <v>33.1</v>
      </c>
      <c r="H11" s="71">
        <f>'[2]AUX4 - Dados Ambientais (2)'!H12</f>
        <v>26.1</v>
      </c>
      <c r="I11" s="71">
        <f>'[2]AUX4 - Dados Ambientais (2)'!I12</f>
        <v>8.1999999999999993</v>
      </c>
      <c r="J11" s="72">
        <f>'[2]AUX4 - Dados Ambientais (2)'!J12</f>
        <v>-1.38</v>
      </c>
      <c r="K11" s="72">
        <f>'[2]AUX4 - Dados Ambientais (2)'!K12</f>
        <v>-48.48</v>
      </c>
      <c r="L11" s="73">
        <f>'[2]AUX4 - Dados Ambientais (2)'!L12</f>
        <v>16</v>
      </c>
    </row>
    <row r="12" spans="1:29" x14ac:dyDescent="0.3">
      <c r="A12" s="216"/>
      <c r="B12" s="216"/>
      <c r="C12" s="70" t="s">
        <v>143</v>
      </c>
      <c r="D12" s="219"/>
      <c r="E12" s="220"/>
      <c r="F12" s="221"/>
      <c r="G12" s="71"/>
      <c r="H12" s="71"/>
      <c r="I12" s="71"/>
      <c r="J12" s="72"/>
      <c r="K12" s="72"/>
      <c r="L12" s="73"/>
    </row>
    <row r="13" spans="1:29" ht="15" customHeight="1" x14ac:dyDescent="0.3">
      <c r="A13" s="203"/>
      <c r="B13" s="204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29" ht="15" customHeight="1" x14ac:dyDescent="0.3">
      <c r="A14" s="205"/>
      <c r="B14" s="206"/>
      <c r="C14" s="59"/>
      <c r="D14" s="59"/>
      <c r="E14" s="59"/>
      <c r="F14" s="59"/>
      <c r="G14" s="59"/>
      <c r="H14" s="59"/>
      <c r="I14" s="59"/>
      <c r="J14" s="59"/>
      <c r="K14" s="59"/>
      <c r="L14" s="78"/>
    </row>
    <row r="15" spans="1:29" ht="15" customHeight="1" x14ac:dyDescent="0.3">
      <c r="A15" s="74"/>
      <c r="B15" s="75"/>
      <c r="C15" s="59"/>
      <c r="D15" s="59"/>
      <c r="E15" s="59"/>
      <c r="F15" s="59"/>
      <c r="G15" s="59"/>
      <c r="H15" s="59"/>
      <c r="I15" s="59"/>
      <c r="J15" s="59"/>
      <c r="K15" s="59"/>
      <c r="L15" s="78"/>
    </row>
    <row r="16" spans="1:29" ht="15" customHeight="1" x14ac:dyDescent="0.3">
      <c r="A16" s="207" t="s">
        <v>144</v>
      </c>
      <c r="B16" s="207"/>
      <c r="C16" s="79" t="s">
        <v>145</v>
      </c>
      <c r="D16" s="79" t="s">
        <v>51</v>
      </c>
      <c r="E16" s="79" t="s">
        <v>146</v>
      </c>
      <c r="F16" s="79" t="s">
        <v>147</v>
      </c>
      <c r="G16" s="79" t="s">
        <v>2</v>
      </c>
      <c r="H16" s="79" t="s">
        <v>148</v>
      </c>
      <c r="I16" s="79" t="s">
        <v>149</v>
      </c>
      <c r="J16" s="79" t="s">
        <v>150</v>
      </c>
      <c r="K16" s="79" t="s">
        <v>151</v>
      </c>
      <c r="L16" s="80" t="s">
        <v>19</v>
      </c>
      <c r="N16" s="81" t="s">
        <v>152</v>
      </c>
      <c r="O16" s="81" t="s">
        <v>153</v>
      </c>
      <c r="P16" s="81" t="s">
        <v>154</v>
      </c>
      <c r="Q16" s="81" t="s">
        <v>155</v>
      </c>
      <c r="R16" s="81" t="s">
        <v>156</v>
      </c>
      <c r="S16" s="81" t="s">
        <v>97</v>
      </c>
      <c r="T16" s="81" t="s">
        <v>157</v>
      </c>
    </row>
    <row r="17" spans="1:20" ht="19.95" customHeight="1" x14ac:dyDescent="0.3">
      <c r="A17" s="208">
        <f>'[2]AUX-CARGA ESTIMADA'!A2</f>
        <v>0</v>
      </c>
      <c r="B17" s="208"/>
      <c r="C17" s="82" t="s">
        <v>158</v>
      </c>
      <c r="D17" s="83">
        <f>'[2]AUX-CARGA ESTIMADA'!B2</f>
        <v>0</v>
      </c>
      <c r="E17" s="84">
        <f>'[2]AUX-CARGA ESTIMADA'!C2</f>
        <v>0</v>
      </c>
      <c r="F17" s="85">
        <f>'[2]AUX-CARGA ESTIMADA'!D2</f>
        <v>0</v>
      </c>
      <c r="G17" s="86" t="s">
        <v>159</v>
      </c>
      <c r="H17" s="87">
        <f>'[2]AUX-CARGA ESTIMADA'!F2</f>
        <v>0</v>
      </c>
      <c r="I17" s="87">
        <f>'[2]AUX-CARGA ESTIMADA'!G2</f>
        <v>0</v>
      </c>
      <c r="J17" s="82"/>
      <c r="K17" s="88">
        <f>'[2]AUX-CARGA ESTIMADA'!I2</f>
        <v>0</v>
      </c>
      <c r="L17" s="89">
        <v>29</v>
      </c>
      <c r="N17" s="90">
        <f>'[2]AUX-CARGA ESTIMADA'!L2</f>
        <v>0</v>
      </c>
      <c r="O17" s="91">
        <v>0.1</v>
      </c>
      <c r="P17" s="92">
        <v>10</v>
      </c>
      <c r="Q17" s="93">
        <f>ROUNDUP((N17*(O17+1))/P17,0)</f>
        <v>0</v>
      </c>
      <c r="R17" s="93">
        <f>Q17+1</f>
        <v>1</v>
      </c>
      <c r="S17" s="94">
        <f>Q17*P17</f>
        <v>0</v>
      </c>
      <c r="T17" s="95" t="e">
        <f>S17/N17-1</f>
        <v>#DIV/0!</v>
      </c>
    </row>
    <row r="18" spans="1:20" ht="19.95" customHeight="1" x14ac:dyDescent="0.3">
      <c r="A18" s="208">
        <f>'[2]AUX-CARGA ESTIMADA'!A3</f>
        <v>0</v>
      </c>
      <c r="B18" s="208"/>
      <c r="C18" s="82" t="s">
        <v>158</v>
      </c>
      <c r="D18" s="83">
        <f>'[2]AUX-CARGA ESTIMADA'!B3</f>
        <v>0</v>
      </c>
      <c r="E18" s="84">
        <f>'[2]AUX-CARGA ESTIMADA'!C3</f>
        <v>0</v>
      </c>
      <c r="F18" s="85">
        <f>'[2]AUX-CARGA ESTIMADA'!D3</f>
        <v>0</v>
      </c>
      <c r="G18" s="86">
        <f>'[2]AUX-CARGA ESTIMADA'!E3</f>
        <v>0</v>
      </c>
      <c r="H18" s="87">
        <f>'[2]AUX-CARGA ESTIMADA'!F3</f>
        <v>0</v>
      </c>
      <c r="I18" s="87">
        <f>'[2]AUX-CARGA ESTIMADA'!G3</f>
        <v>0</v>
      </c>
      <c r="J18" s="82"/>
      <c r="K18" s="88">
        <f>'[2]AUX-CARGA ESTIMADA'!I3</f>
        <v>0</v>
      </c>
      <c r="L18" s="89">
        <f>'[2]AUX-CARGA ESTIMADA'!J3</f>
        <v>0</v>
      </c>
      <c r="N18" s="90">
        <f>'[2]AUX-CARGA ESTIMADA'!L3</f>
        <v>0</v>
      </c>
      <c r="O18" s="91">
        <v>0.1</v>
      </c>
      <c r="P18" s="92">
        <v>3</v>
      </c>
      <c r="Q18" s="93">
        <f t="shared" ref="Q18:Q27" si="0">ROUNDUP((N18*(O18+1))/P18,0)</f>
        <v>0</v>
      </c>
      <c r="R18" s="93">
        <f t="shared" ref="R18:R27" si="1">Q18+1</f>
        <v>1</v>
      </c>
      <c r="S18" s="94">
        <f t="shared" ref="S18:S27" si="2">Q18*P18</f>
        <v>0</v>
      </c>
      <c r="T18" s="95" t="e">
        <f t="shared" ref="T18:T27" si="3">S18/N18-1</f>
        <v>#DIV/0!</v>
      </c>
    </row>
    <row r="19" spans="1:20" ht="19.95" customHeight="1" x14ac:dyDescent="0.3">
      <c r="A19" s="208">
        <f>'[2]AUX-CARGA ESTIMADA'!A4</f>
        <v>0</v>
      </c>
      <c r="B19" s="208"/>
      <c r="C19" s="82" t="s">
        <v>158</v>
      </c>
      <c r="D19" s="83">
        <f>'[2]AUX-CARGA ESTIMADA'!B4</f>
        <v>0</v>
      </c>
      <c r="E19" s="84">
        <f>'[2]AUX-CARGA ESTIMADA'!C4</f>
        <v>0</v>
      </c>
      <c r="F19" s="85">
        <f>'[2]AUX-CARGA ESTIMADA'!D4</f>
        <v>0</v>
      </c>
      <c r="G19" s="86">
        <f>'[2]AUX-CARGA ESTIMADA'!E4</f>
        <v>0</v>
      </c>
      <c r="H19" s="87">
        <f>'[2]AUX-CARGA ESTIMADA'!F4</f>
        <v>0</v>
      </c>
      <c r="I19" s="87">
        <f>'[2]AUX-CARGA ESTIMADA'!G4</f>
        <v>0</v>
      </c>
      <c r="J19" s="82"/>
      <c r="K19" s="88">
        <f>'[2]AUX-CARGA ESTIMADA'!I4</f>
        <v>0</v>
      </c>
      <c r="L19" s="89">
        <f>'[2]AUX-CARGA ESTIMADA'!J4</f>
        <v>0</v>
      </c>
      <c r="N19" s="90">
        <f>'[2]AUX-CARGA ESTIMADA'!L4</f>
        <v>0</v>
      </c>
      <c r="O19" s="91">
        <v>0</v>
      </c>
      <c r="P19" s="92">
        <v>7.5</v>
      </c>
      <c r="Q19" s="93">
        <f t="shared" si="0"/>
        <v>0</v>
      </c>
      <c r="R19" s="93">
        <f t="shared" si="1"/>
        <v>1</v>
      </c>
      <c r="S19" s="94">
        <f t="shared" si="2"/>
        <v>0</v>
      </c>
      <c r="T19" s="95" t="e">
        <f t="shared" si="3"/>
        <v>#DIV/0!</v>
      </c>
    </row>
    <row r="20" spans="1:20" ht="19.95" customHeight="1" x14ac:dyDescent="0.3">
      <c r="A20" s="208">
        <f>'[2]AUX-CARGA ESTIMADA'!A5</f>
        <v>0</v>
      </c>
      <c r="B20" s="208"/>
      <c r="C20" s="82" t="s">
        <v>158</v>
      </c>
      <c r="D20" s="83">
        <f>'[2]AUX-CARGA ESTIMADA'!B5</f>
        <v>0</v>
      </c>
      <c r="E20" s="84">
        <f>'[2]AUX-CARGA ESTIMADA'!C5</f>
        <v>0</v>
      </c>
      <c r="F20" s="85">
        <f>'[2]AUX-CARGA ESTIMADA'!D5</f>
        <v>0</v>
      </c>
      <c r="G20" s="86">
        <f>'[2]AUX-CARGA ESTIMADA'!E5</f>
        <v>0</v>
      </c>
      <c r="H20" s="87">
        <f>'[2]AUX-CARGA ESTIMADA'!F5</f>
        <v>0</v>
      </c>
      <c r="I20" s="87">
        <f>'[2]AUX-CARGA ESTIMADA'!G5</f>
        <v>0</v>
      </c>
      <c r="J20" s="82"/>
      <c r="K20" s="88">
        <f>'[2]AUX-CARGA ESTIMADA'!I5</f>
        <v>0</v>
      </c>
      <c r="L20" s="89">
        <f>'[2]AUX-CARGA ESTIMADA'!J5</f>
        <v>0</v>
      </c>
      <c r="N20" s="90">
        <f>'[2]AUX-CARGA ESTIMADA'!L5</f>
        <v>0</v>
      </c>
      <c r="O20" s="91">
        <v>0</v>
      </c>
      <c r="P20" s="92">
        <v>7.5</v>
      </c>
      <c r="Q20" s="93">
        <f t="shared" si="0"/>
        <v>0</v>
      </c>
      <c r="R20" s="93">
        <f t="shared" si="1"/>
        <v>1</v>
      </c>
      <c r="S20" s="94">
        <f t="shared" si="2"/>
        <v>0</v>
      </c>
      <c r="T20" s="95" t="e">
        <f t="shared" si="3"/>
        <v>#DIV/0!</v>
      </c>
    </row>
    <row r="21" spans="1:20" ht="19.95" customHeight="1" x14ac:dyDescent="0.3">
      <c r="A21" s="208">
        <f>'[2]AUX-CARGA ESTIMADA'!A6</f>
        <v>0</v>
      </c>
      <c r="B21" s="208"/>
      <c r="C21" s="82" t="s">
        <v>158</v>
      </c>
      <c r="D21" s="83">
        <f>'[2]AUX-CARGA ESTIMADA'!B6</f>
        <v>0</v>
      </c>
      <c r="E21" s="84">
        <f>'[2]AUX-CARGA ESTIMADA'!C6</f>
        <v>0</v>
      </c>
      <c r="F21" s="85">
        <f>'[2]AUX-CARGA ESTIMADA'!D6</f>
        <v>0</v>
      </c>
      <c r="G21" s="86">
        <f>'[2]AUX-CARGA ESTIMADA'!E6</f>
        <v>0</v>
      </c>
      <c r="H21" s="87">
        <f>'[2]AUX-CARGA ESTIMADA'!F6</f>
        <v>0</v>
      </c>
      <c r="I21" s="87">
        <f>'[2]AUX-CARGA ESTIMADA'!G6</f>
        <v>0</v>
      </c>
      <c r="J21" s="82"/>
      <c r="K21" s="88">
        <f>'[2]AUX-CARGA ESTIMADA'!I6</f>
        <v>0</v>
      </c>
      <c r="L21" s="89">
        <f>'[2]AUX-CARGA ESTIMADA'!J6</f>
        <v>0</v>
      </c>
      <c r="N21" s="90">
        <f>'[2]AUX-CARGA ESTIMADA'!L6</f>
        <v>0</v>
      </c>
      <c r="O21" s="91">
        <v>0</v>
      </c>
      <c r="P21" s="92">
        <v>7.5</v>
      </c>
      <c r="Q21" s="93">
        <f t="shared" si="0"/>
        <v>0</v>
      </c>
      <c r="R21" s="93">
        <f t="shared" si="1"/>
        <v>1</v>
      </c>
      <c r="S21" s="94">
        <f t="shared" si="2"/>
        <v>0</v>
      </c>
      <c r="T21" s="95" t="e">
        <f t="shared" si="3"/>
        <v>#DIV/0!</v>
      </c>
    </row>
    <row r="22" spans="1:20" ht="19.95" customHeight="1" x14ac:dyDescent="0.3">
      <c r="A22" s="208">
        <f>'[2]AUX-CARGA ESTIMADA'!A7</f>
        <v>0</v>
      </c>
      <c r="B22" s="208"/>
      <c r="C22" s="82" t="s">
        <v>158</v>
      </c>
      <c r="D22" s="83">
        <f>'[2]AUX-CARGA ESTIMADA'!B7</f>
        <v>0</v>
      </c>
      <c r="E22" s="84">
        <f>'[2]AUX-CARGA ESTIMADA'!C7</f>
        <v>0</v>
      </c>
      <c r="F22" s="85">
        <f>'[2]AUX-CARGA ESTIMADA'!D7</f>
        <v>0</v>
      </c>
      <c r="G22" s="86">
        <f>'[2]AUX-CARGA ESTIMADA'!E7</f>
        <v>0</v>
      </c>
      <c r="H22" s="87">
        <f>'[2]AUX-CARGA ESTIMADA'!F7</f>
        <v>0</v>
      </c>
      <c r="I22" s="87">
        <f>'[2]AUX-CARGA ESTIMADA'!G7</f>
        <v>0</v>
      </c>
      <c r="J22" s="82"/>
      <c r="K22" s="88">
        <f>'[2]AUX-CARGA ESTIMADA'!I7</f>
        <v>0</v>
      </c>
      <c r="L22" s="89">
        <f>'[2]AUX-CARGA ESTIMADA'!J7</f>
        <v>0</v>
      </c>
      <c r="N22" s="90">
        <f>'[2]AUX-CARGA ESTIMADA'!L7</f>
        <v>0</v>
      </c>
      <c r="O22" s="91">
        <v>0</v>
      </c>
      <c r="P22" s="92">
        <v>7.5</v>
      </c>
      <c r="Q22" s="93">
        <f t="shared" si="0"/>
        <v>0</v>
      </c>
      <c r="R22" s="93">
        <f t="shared" si="1"/>
        <v>1</v>
      </c>
      <c r="S22" s="94">
        <f t="shared" si="2"/>
        <v>0</v>
      </c>
      <c r="T22" s="95" t="e">
        <f t="shared" si="3"/>
        <v>#DIV/0!</v>
      </c>
    </row>
    <row r="23" spans="1:20" ht="19.95" customHeight="1" x14ac:dyDescent="0.3">
      <c r="A23" s="208">
        <f>'[2]AUX-CARGA ESTIMADA'!A8</f>
        <v>0</v>
      </c>
      <c r="B23" s="208"/>
      <c r="C23" s="82" t="s">
        <v>158</v>
      </c>
      <c r="D23" s="83">
        <f>'[2]AUX-CARGA ESTIMADA'!B8</f>
        <v>0</v>
      </c>
      <c r="E23" s="84">
        <f>'[2]AUX-CARGA ESTIMADA'!C8</f>
        <v>0</v>
      </c>
      <c r="F23" s="85">
        <f>'[2]AUX-CARGA ESTIMADA'!D8</f>
        <v>0</v>
      </c>
      <c r="G23" s="86">
        <f>'[2]AUX-CARGA ESTIMADA'!E8</f>
        <v>0</v>
      </c>
      <c r="H23" s="87">
        <f>'[2]AUX-CARGA ESTIMADA'!F8</f>
        <v>0</v>
      </c>
      <c r="I23" s="87">
        <f>'[2]AUX-CARGA ESTIMADA'!G8</f>
        <v>0</v>
      </c>
      <c r="J23" s="82"/>
      <c r="K23" s="88">
        <f>'[2]AUX-CARGA ESTIMADA'!I8</f>
        <v>0</v>
      </c>
      <c r="L23" s="89">
        <f>'[2]AUX-CARGA ESTIMADA'!J8</f>
        <v>0</v>
      </c>
      <c r="N23" s="90">
        <f>'[2]AUX-CARGA ESTIMADA'!L8</f>
        <v>0</v>
      </c>
      <c r="O23" s="91">
        <v>0</v>
      </c>
      <c r="P23" s="92">
        <v>7.5</v>
      </c>
      <c r="Q23" s="93">
        <f t="shared" si="0"/>
        <v>0</v>
      </c>
      <c r="R23" s="93">
        <f t="shared" si="1"/>
        <v>1</v>
      </c>
      <c r="S23" s="94">
        <f t="shared" si="2"/>
        <v>0</v>
      </c>
      <c r="T23" s="95" t="e">
        <f t="shared" si="3"/>
        <v>#DIV/0!</v>
      </c>
    </row>
    <row r="24" spans="1:20" ht="19.95" customHeight="1" x14ac:dyDescent="0.3">
      <c r="A24" s="208">
        <f>'[2]AUX-CARGA ESTIMADA'!A9</f>
        <v>0</v>
      </c>
      <c r="B24" s="208"/>
      <c r="C24" s="82" t="s">
        <v>158</v>
      </c>
      <c r="D24" s="83">
        <f>'[2]AUX-CARGA ESTIMADA'!B9</f>
        <v>0</v>
      </c>
      <c r="E24" s="84">
        <f>'[2]AUX-CARGA ESTIMADA'!C9</f>
        <v>0</v>
      </c>
      <c r="F24" s="85">
        <f>'[2]AUX-CARGA ESTIMADA'!D9</f>
        <v>0</v>
      </c>
      <c r="G24" s="86">
        <f>'[2]AUX-CARGA ESTIMADA'!E9</f>
        <v>0</v>
      </c>
      <c r="H24" s="87">
        <f>'[2]AUX-CARGA ESTIMADA'!F9</f>
        <v>0</v>
      </c>
      <c r="I24" s="87">
        <f>'[2]AUX-CARGA ESTIMADA'!G9</f>
        <v>0</v>
      </c>
      <c r="J24" s="82"/>
      <c r="K24" s="88">
        <f>'[2]AUX-CARGA ESTIMADA'!I9</f>
        <v>0</v>
      </c>
      <c r="L24" s="89">
        <f>'[2]AUX-CARGA ESTIMADA'!J9</f>
        <v>0</v>
      </c>
      <c r="N24" s="90">
        <f>'[2]AUX-CARGA ESTIMADA'!L9</f>
        <v>0</v>
      </c>
      <c r="O24" s="91">
        <v>0</v>
      </c>
      <c r="P24" s="92">
        <v>7.5</v>
      </c>
      <c r="Q24" s="93">
        <f t="shared" si="0"/>
        <v>0</v>
      </c>
      <c r="R24" s="93">
        <f t="shared" si="1"/>
        <v>1</v>
      </c>
      <c r="S24" s="94">
        <f t="shared" si="2"/>
        <v>0</v>
      </c>
      <c r="T24" s="95" t="e">
        <f t="shared" si="3"/>
        <v>#DIV/0!</v>
      </c>
    </row>
    <row r="25" spans="1:20" ht="19.95" customHeight="1" x14ac:dyDescent="0.3">
      <c r="A25" s="178" t="s">
        <v>160</v>
      </c>
      <c r="B25" s="178"/>
      <c r="C25" s="82" t="s">
        <v>161</v>
      </c>
      <c r="D25" s="83"/>
      <c r="E25" s="84"/>
      <c r="F25" s="85"/>
      <c r="G25" s="86"/>
      <c r="H25" s="87"/>
      <c r="I25" s="87"/>
      <c r="J25" s="82"/>
      <c r="K25" s="88">
        <f>'[2]AUX-CARGA ESTIMADA'!I6</f>
        <v>0</v>
      </c>
      <c r="L25" s="89">
        <f>'[2]AUX-CARGA ESTIMADA'!J6</f>
        <v>0</v>
      </c>
      <c r="N25" s="90">
        <f>'[2]AUX-CARGA ESTIMADA'!L6</f>
        <v>0</v>
      </c>
      <c r="O25" s="91">
        <v>0</v>
      </c>
      <c r="P25" s="92">
        <v>7.5</v>
      </c>
      <c r="Q25" s="93">
        <f t="shared" si="0"/>
        <v>0</v>
      </c>
      <c r="R25" s="93">
        <f t="shared" si="1"/>
        <v>1</v>
      </c>
      <c r="S25" s="94">
        <f t="shared" si="2"/>
        <v>0</v>
      </c>
      <c r="T25" s="95" t="e">
        <f t="shared" si="3"/>
        <v>#DIV/0!</v>
      </c>
    </row>
    <row r="26" spans="1:20" ht="19.95" customHeight="1" x14ac:dyDescent="0.3">
      <c r="A26" s="178" t="s">
        <v>162</v>
      </c>
      <c r="B26" s="179"/>
      <c r="C26" s="82" t="s">
        <v>161</v>
      </c>
      <c r="D26" s="83"/>
      <c r="E26" s="84"/>
      <c r="F26" s="85"/>
      <c r="G26" s="86"/>
      <c r="H26" s="87"/>
      <c r="I26" s="87"/>
      <c r="J26" s="82"/>
      <c r="K26" s="88">
        <f>'[2]AUX-CARGA ESTIMADA'!I7</f>
        <v>0</v>
      </c>
      <c r="L26" s="89">
        <f>'[2]AUX-CARGA ESTIMADA'!J7</f>
        <v>0</v>
      </c>
      <c r="N26" s="90">
        <f>'[2]AUX-CARGA ESTIMADA'!L7</f>
        <v>0</v>
      </c>
      <c r="O26" s="91">
        <v>0</v>
      </c>
      <c r="P26" s="92">
        <v>7.5</v>
      </c>
      <c r="Q26" s="93">
        <f t="shared" si="0"/>
        <v>0</v>
      </c>
      <c r="R26" s="93">
        <f t="shared" si="1"/>
        <v>1</v>
      </c>
      <c r="S26" s="94">
        <f t="shared" si="2"/>
        <v>0</v>
      </c>
      <c r="T26" s="95" t="e">
        <f t="shared" si="3"/>
        <v>#DIV/0!</v>
      </c>
    </row>
    <row r="27" spans="1:20" ht="19.95" customHeight="1" x14ac:dyDescent="0.3">
      <c r="A27" s="178" t="s">
        <v>162</v>
      </c>
      <c r="B27" s="179"/>
      <c r="C27" s="96" t="s">
        <v>161</v>
      </c>
      <c r="D27" s="83"/>
      <c r="E27" s="84"/>
      <c r="F27" s="85"/>
      <c r="G27" s="86"/>
      <c r="H27" s="87"/>
      <c r="I27" s="87"/>
      <c r="J27" s="96"/>
      <c r="K27" s="97">
        <f>'[2]AUX-CARGA ESTIMADA'!I8</f>
        <v>0</v>
      </c>
      <c r="L27" s="98">
        <f>'[2]AUX-CARGA ESTIMADA'!J8</f>
        <v>0</v>
      </c>
      <c r="N27" s="90">
        <f>'[2]AUX-CARGA ESTIMADA'!L8</f>
        <v>0</v>
      </c>
      <c r="O27" s="91">
        <v>0</v>
      </c>
      <c r="P27" s="92">
        <v>7.5</v>
      </c>
      <c r="Q27" s="93">
        <f t="shared" si="0"/>
        <v>0</v>
      </c>
      <c r="R27" s="93">
        <f t="shared" si="1"/>
        <v>1</v>
      </c>
      <c r="S27" s="94">
        <f t="shared" si="2"/>
        <v>0</v>
      </c>
      <c r="T27" s="95" t="e">
        <f t="shared" si="3"/>
        <v>#DIV/0!</v>
      </c>
    </row>
    <row r="28" spans="1:20" ht="19.95" customHeight="1" x14ac:dyDescent="0.3">
      <c r="A28" s="99" t="s">
        <v>163</v>
      </c>
      <c r="B28" s="99"/>
      <c r="C28" s="180"/>
      <c r="D28" s="181"/>
      <c r="E28" s="181"/>
      <c r="F28" s="181"/>
      <c r="G28" s="181"/>
      <c r="H28" s="181"/>
      <c r="I28" s="181"/>
      <c r="J28" s="181"/>
      <c r="K28" s="181"/>
      <c r="L28" s="182"/>
    </row>
    <row r="29" spans="1:20" ht="19.95" customHeight="1" x14ac:dyDescent="0.3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</row>
    <row r="30" spans="1:20" x14ac:dyDescent="0.3">
      <c r="A30" s="184" t="s">
        <v>164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85"/>
    </row>
    <row r="31" spans="1:20" x14ac:dyDescent="0.3">
      <c r="A31" s="186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8"/>
    </row>
    <row r="32" spans="1:20" x14ac:dyDescent="0.3">
      <c r="A32" s="189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1"/>
    </row>
    <row r="33" spans="1:12" x14ac:dyDescent="0.3">
      <c r="A33" s="189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1"/>
    </row>
    <row r="34" spans="1:12" x14ac:dyDescent="0.3">
      <c r="A34" s="189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1"/>
    </row>
    <row r="35" spans="1:12" x14ac:dyDescent="0.3">
      <c r="A35" s="189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1"/>
    </row>
    <row r="36" spans="1:12" ht="15" customHeight="1" x14ac:dyDescent="0.3">
      <c r="A36" s="189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1"/>
    </row>
    <row r="37" spans="1:12" x14ac:dyDescent="0.3">
      <c r="A37" s="192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4"/>
    </row>
    <row r="38" spans="1:12" ht="13.8" customHeight="1" x14ac:dyDescent="0.3">
      <c r="A38" s="100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101"/>
    </row>
    <row r="39" spans="1:12" x14ac:dyDescent="0.3">
      <c r="A39" s="102"/>
      <c r="F39" s="20"/>
      <c r="G39" s="103"/>
      <c r="H39" s="104"/>
      <c r="I39" s="104"/>
      <c r="J39" s="105"/>
      <c r="K39" s="106"/>
      <c r="L39" s="107"/>
    </row>
    <row r="40" spans="1:12" x14ac:dyDescent="0.3">
      <c r="A40" s="102"/>
      <c r="H40" s="104"/>
      <c r="I40" s="104"/>
      <c r="J40" s="104"/>
      <c r="K40" s="104"/>
      <c r="L40" s="107"/>
    </row>
    <row r="41" spans="1:12" x14ac:dyDescent="0.3">
      <c r="A41" s="102"/>
      <c r="H41" s="104"/>
      <c r="I41" s="104"/>
      <c r="J41" s="104"/>
      <c r="K41" s="104"/>
      <c r="L41" s="107"/>
    </row>
    <row r="42" spans="1:12" x14ac:dyDescent="0.3">
      <c r="A42" s="102"/>
      <c r="H42" s="104"/>
      <c r="I42" s="104"/>
      <c r="J42" s="104"/>
      <c r="K42" s="104"/>
      <c r="L42" s="107"/>
    </row>
    <row r="43" spans="1:12" x14ac:dyDescent="0.3">
      <c r="H43" s="104"/>
      <c r="I43" s="104"/>
      <c r="J43" s="104"/>
      <c r="K43" s="104"/>
      <c r="L43" s="107"/>
    </row>
    <row r="44" spans="1:12" x14ac:dyDescent="0.3">
      <c r="H44" s="104"/>
      <c r="I44" s="104"/>
      <c r="J44" s="104"/>
      <c r="K44" s="104"/>
      <c r="L44" s="107"/>
    </row>
    <row r="45" spans="1:12" x14ac:dyDescent="0.3">
      <c r="A45" s="195"/>
      <c r="B45" s="196"/>
      <c r="C45" s="196"/>
      <c r="D45" s="196"/>
      <c r="E45" s="196"/>
      <c r="F45" s="196"/>
      <c r="G45" s="196"/>
      <c r="H45" s="197"/>
      <c r="I45" s="197"/>
      <c r="J45" s="197"/>
      <c r="K45" s="198"/>
      <c r="L45" s="199"/>
    </row>
    <row r="46" spans="1:12" x14ac:dyDescent="0.3">
      <c r="A46" s="200" t="s">
        <v>165</v>
      </c>
      <c r="B46" s="201"/>
      <c r="C46" s="201"/>
      <c r="D46" s="201"/>
      <c r="E46" s="201"/>
      <c r="F46" s="201"/>
      <c r="G46" s="201"/>
      <c r="H46" s="201"/>
      <c r="I46" s="81"/>
      <c r="J46" s="201"/>
      <c r="K46" s="201"/>
      <c r="L46" s="202"/>
    </row>
    <row r="47" spans="1:12" x14ac:dyDescent="0.3">
      <c r="A47" s="173" t="s">
        <v>166</v>
      </c>
      <c r="B47" s="174"/>
      <c r="C47" s="174"/>
      <c r="D47" s="174"/>
      <c r="E47" s="174"/>
      <c r="F47" s="174"/>
      <c r="G47" s="174"/>
      <c r="H47" s="175"/>
      <c r="I47" s="108"/>
      <c r="J47" s="176" t="s">
        <v>131</v>
      </c>
      <c r="K47" s="176"/>
      <c r="L47" s="177"/>
    </row>
    <row r="48" spans="1:12" x14ac:dyDescent="0.3">
      <c r="A48" s="173" t="s">
        <v>167</v>
      </c>
      <c r="B48" s="174"/>
      <c r="C48" s="174"/>
      <c r="D48" s="174"/>
      <c r="E48" s="174"/>
      <c r="F48" s="174"/>
      <c r="G48" s="174"/>
      <c r="H48" s="175"/>
      <c r="I48" s="108"/>
      <c r="J48" s="176" t="s">
        <v>131</v>
      </c>
      <c r="K48" s="176"/>
      <c r="L48" s="177"/>
    </row>
    <row r="49" spans="1:12" ht="15" thickBot="1" x14ac:dyDescent="0.35">
      <c r="A49" s="109" t="s">
        <v>168</v>
      </c>
      <c r="B49" s="110"/>
      <c r="C49" s="110"/>
      <c r="D49" s="110"/>
      <c r="E49" s="110"/>
      <c r="F49" s="110"/>
      <c r="G49" s="110"/>
      <c r="H49" s="111"/>
      <c r="I49" s="111"/>
      <c r="J49" s="112" t="s">
        <v>131</v>
      </c>
      <c r="K49" s="112"/>
      <c r="L49" s="113"/>
    </row>
  </sheetData>
  <mergeCells count="41">
    <mergeCell ref="A1:L1"/>
    <mergeCell ref="N1:Z1"/>
    <mergeCell ref="A2:B5"/>
    <mergeCell ref="D2:G2"/>
    <mergeCell ref="H2:H5"/>
    <mergeCell ref="I2:L5"/>
    <mergeCell ref="D3:G3"/>
    <mergeCell ref="D4:G4"/>
    <mergeCell ref="D5:G5"/>
    <mergeCell ref="B7:H7"/>
    <mergeCell ref="B8:H8"/>
    <mergeCell ref="B9:H9"/>
    <mergeCell ref="A10:B12"/>
    <mergeCell ref="D10:F10"/>
    <mergeCell ref="D11:F11"/>
    <mergeCell ref="D12:F12"/>
    <mergeCell ref="A25:B25"/>
    <mergeCell ref="A13:B13"/>
    <mergeCell ref="A14:B14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48:H48"/>
    <mergeCell ref="J48:L48"/>
    <mergeCell ref="A26:B26"/>
    <mergeCell ref="A27:B27"/>
    <mergeCell ref="C28:L28"/>
    <mergeCell ref="A29:L29"/>
    <mergeCell ref="A30:L36"/>
    <mergeCell ref="A37:L37"/>
    <mergeCell ref="A45:L45"/>
    <mergeCell ref="A46:H46"/>
    <mergeCell ref="J46:L46"/>
    <mergeCell ref="A47:H47"/>
    <mergeCell ref="J47:L47"/>
  </mergeCells>
  <conditionalFormatting sqref="F17:F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{24F6813B-0938-40C4-96C6-4D8026F02C21}</x14:id>
        </ext>
      </extLst>
    </cfRule>
  </conditionalFormatting>
  <conditionalFormatting sqref="N17:N2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{B844BF02-16C7-49BA-8DFA-9CF116F5B7E7}</x14:id>
        </ext>
      </extLst>
    </cfRule>
  </conditionalFormatting>
  <conditionalFormatting sqref="P17:P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{BF7A3F8C-6E9C-4B6E-8126-D692C45B66BD}</x14:id>
        </ext>
      </extLst>
    </cfRule>
  </conditionalFormatting>
  <conditionalFormatting sqref="T17:T2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{FCAC394D-F477-4574-9D54-476FE389D3A4}</x14:id>
        </ext>
      </extLst>
    </cfRule>
  </conditionalFormatting>
  <dataValidations count="6">
    <dataValidation type="list" allowBlank="1" showInputMessage="1" showErrorMessage="1" sqref="P17:P26" xr:uid="{5EEB011E-95F6-47DB-A821-CB2A0704D2A5}">
      <mc:AlternateContent xmlns:x12ac="http://schemas.microsoft.com/office/spreadsheetml/2011/1/ac" xmlns:mc="http://schemas.openxmlformats.org/markup-compatibility/2006">
        <mc:Choice Requires="x12ac">
          <x12ac:list>1,2,3,4,5,"7,5",10,"12,5",15,20,25,30,</x12ac:list>
        </mc:Choice>
        <mc:Fallback>
          <formula1>"1,2,3,4,5,7,5,10,12,5,15,20,25,30,"</formula1>
        </mc:Fallback>
      </mc:AlternateContent>
    </dataValidation>
    <dataValidation type="list" allowBlank="1" showInputMessage="1" showErrorMessage="1" sqref="J47" xr:uid="{D3C23935-D1E7-4609-AD02-AC717BA4D255}">
      <formula1>"220V, 380V, -"</formula1>
    </dataValidation>
    <dataValidation type="list" allowBlank="1" showInputMessage="1" showErrorMessage="1" sqref="J48" xr:uid="{E1C4A040-F5A5-4514-A400-CB4E3DBD9E7E}">
      <formula1>"127V,220V, -,"</formula1>
    </dataValidation>
    <dataValidation type="list" allowBlank="1" showInputMessage="1" showErrorMessage="1" sqref="J46" xr:uid="{E9AD5203-9AAC-45C1-93A2-3C7E94794A56}">
      <formula1>"220V, 380V, 440V, 480V, -"</formula1>
    </dataValidation>
    <dataValidation type="list" allowBlank="1" showInputMessage="1" showErrorMessage="1" sqref="C17:C27" xr:uid="{6D7C85DF-854C-4F4C-8BF1-5B849755DD22}">
      <formula1>"Climatizado,Ventilado,"</formula1>
    </dataValidation>
    <dataValidation type="list" allowBlank="1" showInputMessage="1" showErrorMessage="1" sqref="J17:J27" xr:uid="{37785CEE-4502-4876-AE10-385882E5A7FF}">
      <formula1>"Lã de Rocha, Poliuretano, Poliestireno, Alvenaria, N/A"</formula1>
    </dataValidation>
  </dataValidations>
  <printOptions horizontalCentered="1"/>
  <pageMargins left="0.19685039370078741" right="0.19685039370078741" top="0.19685039370078741" bottom="0.19685039370078741" header="0.19685039370078741" footer="0.19685039370078741"/>
  <pageSetup paperSize="9" scale="68" orientation="portrait" r:id="rId1"/>
  <colBreaks count="1" manualBreakCount="1"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pinner 1">
              <controlPr defaultSize="0" autoPict="0">
                <anchor moveWithCells="1" sizeWithCells="1">
                  <from>
                    <xdr:col>11</xdr:col>
                    <xdr:colOff>411480</xdr:colOff>
                    <xdr:row>16</xdr:row>
                    <xdr:rowOff>22860</xdr:rowOff>
                  </from>
                  <to>
                    <xdr:col>11</xdr:col>
                    <xdr:colOff>784860</xdr:colOff>
                    <xdr:row>16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Spinner 2">
              <controlPr defaultSize="0" autoPict="0">
                <anchor moveWithCells="1" sizeWithCells="1">
                  <from>
                    <xdr:col>11</xdr:col>
                    <xdr:colOff>411480</xdr:colOff>
                    <xdr:row>17</xdr:row>
                    <xdr:rowOff>22860</xdr:rowOff>
                  </from>
                  <to>
                    <xdr:col>11</xdr:col>
                    <xdr:colOff>784860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Spinner 3">
              <controlPr defaultSize="0" autoPict="0">
                <anchor moveWithCells="1" sizeWithCells="1">
                  <from>
                    <xdr:col>11</xdr:col>
                    <xdr:colOff>411480</xdr:colOff>
                    <xdr:row>18</xdr:row>
                    <xdr:rowOff>22860</xdr:rowOff>
                  </from>
                  <to>
                    <xdr:col>11</xdr:col>
                    <xdr:colOff>784860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Spinner 4">
              <controlPr defaultSize="0" autoPict="0">
                <anchor moveWithCells="1" sizeWithCells="1">
                  <from>
                    <xdr:col>11</xdr:col>
                    <xdr:colOff>411480</xdr:colOff>
                    <xdr:row>19</xdr:row>
                    <xdr:rowOff>22860</xdr:rowOff>
                  </from>
                  <to>
                    <xdr:col>11</xdr:col>
                    <xdr:colOff>784860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Spinner 5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Spinner 6">
              <controlPr defaultSize="0" autoPict="0">
                <anchor moveWithCells="1" sizeWithCells="1">
                  <from>
                    <xdr:col>11</xdr:col>
                    <xdr:colOff>411480</xdr:colOff>
                    <xdr:row>17</xdr:row>
                    <xdr:rowOff>22860</xdr:rowOff>
                  </from>
                  <to>
                    <xdr:col>11</xdr:col>
                    <xdr:colOff>784860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Spinner 7">
              <controlPr defaultSize="0" autoPict="0">
                <anchor moveWithCells="1" sizeWithCells="1">
                  <from>
                    <xdr:col>11</xdr:col>
                    <xdr:colOff>411480</xdr:colOff>
                    <xdr:row>18</xdr:row>
                    <xdr:rowOff>22860</xdr:rowOff>
                  </from>
                  <to>
                    <xdr:col>11</xdr:col>
                    <xdr:colOff>784860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Spinner 8">
              <controlPr defaultSize="0" autoPict="0">
                <anchor moveWithCells="1" sizeWithCells="1">
                  <from>
                    <xdr:col>11</xdr:col>
                    <xdr:colOff>411480</xdr:colOff>
                    <xdr:row>19</xdr:row>
                    <xdr:rowOff>22860</xdr:rowOff>
                  </from>
                  <to>
                    <xdr:col>11</xdr:col>
                    <xdr:colOff>784860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Spinner 9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Spinner 10">
              <controlPr defaultSize="0" autoPict="0">
                <anchor moveWithCells="1" sizeWithCells="1">
                  <from>
                    <xdr:col>11</xdr:col>
                    <xdr:colOff>411480</xdr:colOff>
                    <xdr:row>17</xdr:row>
                    <xdr:rowOff>22860</xdr:rowOff>
                  </from>
                  <to>
                    <xdr:col>11</xdr:col>
                    <xdr:colOff>784860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Spinner 11">
              <controlPr defaultSize="0" autoPict="0">
                <anchor moveWithCells="1" sizeWithCells="1">
                  <from>
                    <xdr:col>11</xdr:col>
                    <xdr:colOff>411480</xdr:colOff>
                    <xdr:row>18</xdr:row>
                    <xdr:rowOff>22860</xdr:rowOff>
                  </from>
                  <to>
                    <xdr:col>11</xdr:col>
                    <xdr:colOff>784860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Spinner 12">
              <controlPr defaultSize="0" autoPict="0">
                <anchor moveWithCells="1" sizeWithCells="1">
                  <from>
                    <xdr:col>11</xdr:col>
                    <xdr:colOff>411480</xdr:colOff>
                    <xdr:row>17</xdr:row>
                    <xdr:rowOff>22860</xdr:rowOff>
                  </from>
                  <to>
                    <xdr:col>11</xdr:col>
                    <xdr:colOff>784860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Spinner 13">
              <controlPr defaultSize="0" autoPict="0">
                <anchor moveWithCells="1" sizeWithCells="1">
                  <from>
                    <xdr:col>11</xdr:col>
                    <xdr:colOff>411480</xdr:colOff>
                    <xdr:row>18</xdr:row>
                    <xdr:rowOff>22860</xdr:rowOff>
                  </from>
                  <to>
                    <xdr:col>11</xdr:col>
                    <xdr:colOff>784860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Spinner 14">
              <controlPr defaultSize="0" autoPict="0">
                <anchor moveWithCells="1" sizeWithCells="1">
                  <from>
                    <xdr:col>11</xdr:col>
                    <xdr:colOff>411480</xdr:colOff>
                    <xdr:row>19</xdr:row>
                    <xdr:rowOff>22860</xdr:rowOff>
                  </from>
                  <to>
                    <xdr:col>11</xdr:col>
                    <xdr:colOff>784860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Spinner 15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Spinner 16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Spinner 17">
              <controlPr defaultSize="0" autoPict="0">
                <anchor moveWithCells="1" sizeWithCells="1">
                  <from>
                    <xdr:col>10</xdr:col>
                    <xdr:colOff>922020</xdr:colOff>
                    <xdr:row>17</xdr:row>
                    <xdr:rowOff>7620</xdr:rowOff>
                  </from>
                  <to>
                    <xdr:col>10</xdr:col>
                    <xdr:colOff>1295400</xdr:colOff>
                    <xdr:row>17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Spinner 18">
              <controlPr defaultSize="0" autoPict="0">
                <anchor moveWithCells="1" sizeWithCells="1">
                  <from>
                    <xdr:col>10</xdr:col>
                    <xdr:colOff>922020</xdr:colOff>
                    <xdr:row>18</xdr:row>
                    <xdr:rowOff>7620</xdr:rowOff>
                  </from>
                  <to>
                    <xdr:col>10</xdr:col>
                    <xdr:colOff>1295400</xdr:colOff>
                    <xdr:row>18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Spinner 19">
              <controlPr defaultSize="0" autoPict="0">
                <anchor moveWithCells="1" sizeWithCells="1">
                  <from>
                    <xdr:col>10</xdr:col>
                    <xdr:colOff>922020</xdr:colOff>
                    <xdr:row>19</xdr:row>
                    <xdr:rowOff>7620</xdr:rowOff>
                  </from>
                  <to>
                    <xdr:col>10</xdr:col>
                    <xdr:colOff>1295400</xdr:colOff>
                    <xdr:row>19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Spinner 20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Option Button 21">
              <controlPr defaultSize="0" autoFill="0" autoLine="0" autoPict="0">
                <anchor moveWithCells="1">
                  <from>
                    <xdr:col>0</xdr:col>
                    <xdr:colOff>137160</xdr:colOff>
                    <xdr:row>29</xdr:row>
                    <xdr:rowOff>175260</xdr:rowOff>
                  </from>
                  <to>
                    <xdr:col>2</xdr:col>
                    <xdr:colOff>350520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Option Button 22">
              <controlPr defaultSize="0" autoFill="0" autoLine="0" autoPict="0">
                <anchor moveWithCells="1">
                  <from>
                    <xdr:col>0</xdr:col>
                    <xdr:colOff>137160</xdr:colOff>
                    <xdr:row>30</xdr:row>
                    <xdr:rowOff>175260</xdr:rowOff>
                  </from>
                  <to>
                    <xdr:col>1</xdr:col>
                    <xdr:colOff>289560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Option Button 23">
              <controlPr defaultSize="0" autoFill="0" autoLine="0" autoPict="0">
                <anchor moveWithCells="1">
                  <from>
                    <xdr:col>0</xdr:col>
                    <xdr:colOff>144780</xdr:colOff>
                    <xdr:row>32</xdr:row>
                    <xdr:rowOff>0</xdr:rowOff>
                  </from>
                  <to>
                    <xdr:col>1</xdr:col>
                    <xdr:colOff>99060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Option Button 24">
              <controlPr defaultSize="0" autoFill="0" autoLine="0" autoPict="0">
                <anchor moveWithCells="1">
                  <from>
                    <xdr:col>0</xdr:col>
                    <xdr:colOff>144780</xdr:colOff>
                    <xdr:row>32</xdr:row>
                    <xdr:rowOff>198120</xdr:rowOff>
                  </from>
                  <to>
                    <xdr:col>2</xdr:col>
                    <xdr:colOff>312420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Group Box 25">
              <controlPr defaultSize="0" autoFill="0" autoPict="0">
                <anchor moveWithCells="1">
                  <from>
                    <xdr:col>0</xdr:col>
                    <xdr:colOff>22860</xdr:colOff>
                    <xdr:row>29</xdr:row>
                    <xdr:rowOff>22860</xdr:rowOff>
                  </from>
                  <to>
                    <xdr:col>2</xdr:col>
                    <xdr:colOff>769620</xdr:colOff>
                    <xdr:row>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Option Button 26">
              <controlPr defaultSize="0" autoFill="0" autoLine="0" autoPict="0">
                <anchor moveWithCells="1">
                  <from>
                    <xdr:col>0</xdr:col>
                    <xdr:colOff>144780</xdr:colOff>
                    <xdr:row>33</xdr:row>
                    <xdr:rowOff>213360</xdr:rowOff>
                  </from>
                  <to>
                    <xdr:col>1</xdr:col>
                    <xdr:colOff>106680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5</xdr:col>
                    <xdr:colOff>60960</xdr:colOff>
                    <xdr:row>29</xdr:row>
                    <xdr:rowOff>160020</xdr:rowOff>
                  </from>
                  <to>
                    <xdr:col>6</xdr:col>
                    <xdr:colOff>327660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5</xdr:col>
                    <xdr:colOff>60960</xdr:colOff>
                    <xdr:row>30</xdr:row>
                    <xdr:rowOff>175260</xdr:rowOff>
                  </from>
                  <to>
                    <xdr:col>6</xdr:col>
                    <xdr:colOff>213360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5</xdr:col>
                    <xdr:colOff>60960</xdr:colOff>
                    <xdr:row>31</xdr:row>
                    <xdr:rowOff>175260</xdr:rowOff>
                  </from>
                  <to>
                    <xdr:col>6</xdr:col>
                    <xdr:colOff>213360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5</xdr:col>
                    <xdr:colOff>60960</xdr:colOff>
                    <xdr:row>32</xdr:row>
                    <xdr:rowOff>175260</xdr:rowOff>
                  </from>
                  <to>
                    <xdr:col>6</xdr:col>
                    <xdr:colOff>441960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Group Box 31">
              <controlPr defaultSize="0" autoFill="0" autoPict="0">
                <anchor moveWithCells="1">
                  <from>
                    <xdr:col>5</xdr:col>
                    <xdr:colOff>22860</xdr:colOff>
                    <xdr:row>29</xdr:row>
                    <xdr:rowOff>30480</xdr:rowOff>
                  </from>
                  <to>
                    <xdr:col>7</xdr:col>
                    <xdr:colOff>0</xdr:colOff>
                    <xdr:row>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Group Box 32">
              <controlPr defaultSize="0" autoFill="0" autoPict="0">
                <anchor moveWithCells="1">
                  <from>
                    <xdr:col>3</xdr:col>
                    <xdr:colOff>22860</xdr:colOff>
                    <xdr:row>29</xdr:row>
                    <xdr:rowOff>30480</xdr:rowOff>
                  </from>
                  <to>
                    <xdr:col>5</xdr:col>
                    <xdr:colOff>0</xdr:colOff>
                    <xdr:row>35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Option Button 33">
              <controlPr defaultSize="0" autoFill="0" autoLine="0" autoPict="0">
                <anchor moveWithCells="1">
                  <from>
                    <xdr:col>3</xdr:col>
                    <xdr:colOff>99060</xdr:colOff>
                    <xdr:row>29</xdr:row>
                    <xdr:rowOff>152400</xdr:rowOff>
                  </from>
                  <to>
                    <xdr:col>4</xdr:col>
                    <xdr:colOff>76200</xdr:colOff>
                    <xdr:row>31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Option Button 34">
              <controlPr defaultSize="0" autoFill="0" autoLine="0" autoPict="0">
                <anchor moveWithCells="1">
                  <from>
                    <xdr:col>3</xdr:col>
                    <xdr:colOff>114300</xdr:colOff>
                    <xdr:row>30</xdr:row>
                    <xdr:rowOff>160020</xdr:rowOff>
                  </from>
                  <to>
                    <xdr:col>4</xdr:col>
                    <xdr:colOff>99060</xdr:colOff>
                    <xdr:row>32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Option Button 35">
              <controlPr defaultSize="0" autoFill="0" autoLine="0" autoPict="0">
                <anchor moveWithCells="1">
                  <from>
                    <xdr:col>3</xdr:col>
                    <xdr:colOff>106680</xdr:colOff>
                    <xdr:row>31</xdr:row>
                    <xdr:rowOff>160020</xdr:rowOff>
                  </from>
                  <to>
                    <xdr:col>4</xdr:col>
                    <xdr:colOff>83820</xdr:colOff>
                    <xdr:row>33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7</xdr:col>
                    <xdr:colOff>45720</xdr:colOff>
                    <xdr:row>29</xdr:row>
                    <xdr:rowOff>175260</xdr:rowOff>
                  </from>
                  <to>
                    <xdr:col>8</xdr:col>
                    <xdr:colOff>160020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7</xdr:col>
                    <xdr:colOff>45720</xdr:colOff>
                    <xdr:row>30</xdr:row>
                    <xdr:rowOff>160020</xdr:rowOff>
                  </from>
                  <to>
                    <xdr:col>8</xdr:col>
                    <xdr:colOff>594360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7</xdr:col>
                    <xdr:colOff>45720</xdr:colOff>
                    <xdr:row>31</xdr:row>
                    <xdr:rowOff>175260</xdr:rowOff>
                  </from>
                  <to>
                    <xdr:col>7</xdr:col>
                    <xdr:colOff>762000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7</xdr:col>
                    <xdr:colOff>45720</xdr:colOff>
                    <xdr:row>32</xdr:row>
                    <xdr:rowOff>175260</xdr:rowOff>
                  </from>
                  <to>
                    <xdr:col>8</xdr:col>
                    <xdr:colOff>30480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Group Box 40">
              <controlPr defaultSize="0" autoFill="0" autoPict="0">
                <anchor moveWithCells="1">
                  <from>
                    <xdr:col>7</xdr:col>
                    <xdr:colOff>22860</xdr:colOff>
                    <xdr:row>29</xdr:row>
                    <xdr:rowOff>38100</xdr:rowOff>
                  </from>
                  <to>
                    <xdr:col>9</xdr:col>
                    <xdr:colOff>0</xdr:colOff>
                    <xdr:row>35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Group Box 41">
              <controlPr defaultSize="0" autoFill="0" autoPict="0">
                <anchor moveWithCells="1">
                  <from>
                    <xdr:col>10</xdr:col>
                    <xdr:colOff>22860</xdr:colOff>
                    <xdr:row>29</xdr:row>
                    <xdr:rowOff>38100</xdr:rowOff>
                  </from>
                  <to>
                    <xdr:col>12</xdr:col>
                    <xdr:colOff>0</xdr:colOff>
                    <xdr:row>35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10</xdr:col>
                    <xdr:colOff>45720</xdr:colOff>
                    <xdr:row>29</xdr:row>
                    <xdr:rowOff>175260</xdr:rowOff>
                  </from>
                  <to>
                    <xdr:col>11</xdr:col>
                    <xdr:colOff>76200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10</xdr:col>
                    <xdr:colOff>45720</xdr:colOff>
                    <xdr:row>30</xdr:row>
                    <xdr:rowOff>160020</xdr:rowOff>
                  </from>
                  <to>
                    <xdr:col>11</xdr:col>
                    <xdr:colOff>137160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10</xdr:col>
                    <xdr:colOff>45720</xdr:colOff>
                    <xdr:row>31</xdr:row>
                    <xdr:rowOff>175260</xdr:rowOff>
                  </from>
                  <to>
                    <xdr:col>11</xdr:col>
                    <xdr:colOff>297180</xdr:colOff>
                    <xdr:row>33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10</xdr:col>
                    <xdr:colOff>45720</xdr:colOff>
                    <xdr:row>32</xdr:row>
                    <xdr:rowOff>175260</xdr:rowOff>
                  </from>
                  <to>
                    <xdr:col>10</xdr:col>
                    <xdr:colOff>1257300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Option Button 46">
              <controlPr defaultSize="0" autoFill="0" autoLine="0" autoPict="0">
                <anchor moveWithCells="1">
                  <from>
                    <xdr:col>0</xdr:col>
                    <xdr:colOff>137160</xdr:colOff>
                    <xdr:row>37</xdr:row>
                    <xdr:rowOff>175260</xdr:rowOff>
                  </from>
                  <to>
                    <xdr:col>2</xdr:col>
                    <xdr:colOff>617220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Option Button 47">
              <controlPr defaultSize="0" autoFill="0" autoLine="0" autoPict="0">
                <anchor moveWithCells="1">
                  <from>
                    <xdr:col>0</xdr:col>
                    <xdr:colOff>137160</xdr:colOff>
                    <xdr:row>38</xdr:row>
                    <xdr:rowOff>175260</xdr:rowOff>
                  </from>
                  <to>
                    <xdr:col>1</xdr:col>
                    <xdr:colOff>289560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Option Button 48">
              <controlPr defaultSize="0" autoFill="0" autoLine="0" autoPict="0">
                <anchor moveWithCells="1">
                  <from>
                    <xdr:col>0</xdr:col>
                    <xdr:colOff>144780</xdr:colOff>
                    <xdr:row>40</xdr:row>
                    <xdr:rowOff>0</xdr:rowOff>
                  </from>
                  <to>
                    <xdr:col>2</xdr:col>
                    <xdr:colOff>678180</xdr:colOff>
                    <xdr:row>41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Group Box 49">
              <controlPr defaultSize="0" autoFill="0" autoPict="0">
                <anchor moveWithCells="1">
                  <from>
                    <xdr:col>0</xdr:col>
                    <xdr:colOff>22860</xdr:colOff>
                    <xdr:row>37</xdr:row>
                    <xdr:rowOff>22860</xdr:rowOff>
                  </from>
                  <to>
                    <xdr:col>2</xdr:col>
                    <xdr:colOff>769620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Group Box 50">
              <controlPr defaultSize="0" autoFill="0" autoPict="0">
                <anchor moveWithCells="1">
                  <from>
                    <xdr:col>5</xdr:col>
                    <xdr:colOff>22860</xdr:colOff>
                    <xdr:row>37</xdr:row>
                    <xdr:rowOff>30480</xdr:rowOff>
                  </from>
                  <to>
                    <xdr:col>7</xdr:col>
                    <xdr:colOff>0</xdr:colOff>
                    <xdr:row>43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Group Box 51">
              <controlPr defaultSize="0" autoFill="0" autoPict="0">
                <anchor moveWithCells="1">
                  <from>
                    <xdr:col>3</xdr:col>
                    <xdr:colOff>22860</xdr:colOff>
                    <xdr:row>37</xdr:row>
                    <xdr:rowOff>30480</xdr:rowOff>
                  </from>
                  <to>
                    <xdr:col>5</xdr:col>
                    <xdr:colOff>0</xdr:colOff>
                    <xdr:row>43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Option Button 52">
              <controlPr defaultSize="0" autoFill="0" autoLine="0" autoPict="0">
                <anchor moveWithCells="1">
                  <from>
                    <xdr:col>3</xdr:col>
                    <xdr:colOff>99060</xdr:colOff>
                    <xdr:row>37</xdr:row>
                    <xdr:rowOff>152400</xdr:rowOff>
                  </from>
                  <to>
                    <xdr:col>4</xdr:col>
                    <xdr:colOff>746760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Option Button 53">
              <controlPr defaultSize="0" autoFill="0" autoLine="0" autoPict="0">
                <anchor moveWithCells="1">
                  <from>
                    <xdr:col>3</xdr:col>
                    <xdr:colOff>114300</xdr:colOff>
                    <xdr:row>38</xdr:row>
                    <xdr:rowOff>160020</xdr:rowOff>
                  </from>
                  <to>
                    <xdr:col>4</xdr:col>
                    <xdr:colOff>99060</xdr:colOff>
                    <xdr:row>40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Option Button 54">
              <controlPr defaultSize="0" autoFill="0" autoLine="0" autoPict="0">
                <anchor moveWithCells="1">
                  <from>
                    <xdr:col>3</xdr:col>
                    <xdr:colOff>106680</xdr:colOff>
                    <xdr:row>39</xdr:row>
                    <xdr:rowOff>160020</xdr:rowOff>
                  </from>
                  <to>
                    <xdr:col>4</xdr:col>
                    <xdr:colOff>83820</xdr:colOff>
                    <xdr:row>41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7</xdr:col>
                    <xdr:colOff>45720</xdr:colOff>
                    <xdr:row>37</xdr:row>
                    <xdr:rowOff>175260</xdr:rowOff>
                  </from>
                  <to>
                    <xdr:col>8</xdr:col>
                    <xdr:colOff>160020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7</xdr:col>
                    <xdr:colOff>45720</xdr:colOff>
                    <xdr:row>38</xdr:row>
                    <xdr:rowOff>160020</xdr:rowOff>
                  </from>
                  <to>
                    <xdr:col>8</xdr:col>
                    <xdr:colOff>594360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7</xdr:col>
                    <xdr:colOff>45720</xdr:colOff>
                    <xdr:row>39</xdr:row>
                    <xdr:rowOff>175260</xdr:rowOff>
                  </from>
                  <to>
                    <xdr:col>7</xdr:col>
                    <xdr:colOff>762000</xdr:colOff>
                    <xdr:row>41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7</xdr:col>
                    <xdr:colOff>45720</xdr:colOff>
                    <xdr:row>40</xdr:row>
                    <xdr:rowOff>175260</xdr:rowOff>
                  </from>
                  <to>
                    <xdr:col>8</xdr:col>
                    <xdr:colOff>30480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Group Box 59">
              <controlPr defaultSize="0" autoFill="0" autoPict="0">
                <anchor moveWithCells="1">
                  <from>
                    <xdr:col>7</xdr:col>
                    <xdr:colOff>22860</xdr:colOff>
                    <xdr:row>37</xdr:row>
                    <xdr:rowOff>38100</xdr:rowOff>
                  </from>
                  <to>
                    <xdr:col>9</xdr:col>
                    <xdr:colOff>0</xdr:colOff>
                    <xdr:row>43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Group Box 60">
              <controlPr defaultSize="0" autoFill="0" autoPict="0">
                <anchor moveWithCells="1">
                  <from>
                    <xdr:col>10</xdr:col>
                    <xdr:colOff>22860</xdr:colOff>
                    <xdr:row>37</xdr:row>
                    <xdr:rowOff>38100</xdr:rowOff>
                  </from>
                  <to>
                    <xdr:col>12</xdr:col>
                    <xdr:colOff>0</xdr:colOff>
                    <xdr:row>43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10</xdr:col>
                    <xdr:colOff>45720</xdr:colOff>
                    <xdr:row>37</xdr:row>
                    <xdr:rowOff>175260</xdr:rowOff>
                  </from>
                  <to>
                    <xdr:col>11</xdr:col>
                    <xdr:colOff>76200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10</xdr:col>
                    <xdr:colOff>45720</xdr:colOff>
                    <xdr:row>38</xdr:row>
                    <xdr:rowOff>160020</xdr:rowOff>
                  </from>
                  <to>
                    <xdr:col>11</xdr:col>
                    <xdr:colOff>137160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10</xdr:col>
                    <xdr:colOff>45720</xdr:colOff>
                    <xdr:row>39</xdr:row>
                    <xdr:rowOff>175260</xdr:rowOff>
                  </from>
                  <to>
                    <xdr:col>11</xdr:col>
                    <xdr:colOff>297180</xdr:colOff>
                    <xdr:row>41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10</xdr:col>
                    <xdr:colOff>45720</xdr:colOff>
                    <xdr:row>40</xdr:row>
                    <xdr:rowOff>175260</xdr:rowOff>
                  </from>
                  <to>
                    <xdr:col>10</xdr:col>
                    <xdr:colOff>1257300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0</xdr:col>
                    <xdr:colOff>175260</xdr:colOff>
                    <xdr:row>40</xdr:row>
                    <xdr:rowOff>160020</xdr:rowOff>
                  </from>
                  <to>
                    <xdr:col>2</xdr:col>
                    <xdr:colOff>769620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0</xdr:col>
                    <xdr:colOff>160020</xdr:colOff>
                    <xdr:row>41</xdr:row>
                    <xdr:rowOff>160020</xdr:rowOff>
                  </from>
                  <to>
                    <xdr:col>2</xdr:col>
                    <xdr:colOff>541020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Option Button 67">
              <controlPr defaultSize="0" autoFill="0" autoLine="0" autoPict="0">
                <anchor moveWithCells="1">
                  <from>
                    <xdr:col>5</xdr:col>
                    <xdr:colOff>99060</xdr:colOff>
                    <xdr:row>37</xdr:row>
                    <xdr:rowOff>152400</xdr:rowOff>
                  </from>
                  <to>
                    <xdr:col>6</xdr:col>
                    <xdr:colOff>632460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Option Button 68">
              <controlPr defaultSize="0" autoFill="0" autoLine="0" autoPict="0">
                <anchor moveWithCells="1">
                  <from>
                    <xdr:col>5</xdr:col>
                    <xdr:colOff>114300</xdr:colOff>
                    <xdr:row>38</xdr:row>
                    <xdr:rowOff>160020</xdr:rowOff>
                  </from>
                  <to>
                    <xdr:col>5</xdr:col>
                    <xdr:colOff>899160</xdr:colOff>
                    <xdr:row>40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Option Button 69">
              <controlPr defaultSize="0" autoFill="0" autoLine="0" autoPict="0">
                <anchor moveWithCells="1">
                  <from>
                    <xdr:col>5</xdr:col>
                    <xdr:colOff>106680</xdr:colOff>
                    <xdr:row>39</xdr:row>
                    <xdr:rowOff>160020</xdr:rowOff>
                  </from>
                  <to>
                    <xdr:col>5</xdr:col>
                    <xdr:colOff>899160</xdr:colOff>
                    <xdr:row>41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Option Button 70">
              <controlPr defaultSize="0" autoFill="0" autoLine="0" autoPict="0">
                <anchor moveWithCells="1">
                  <from>
                    <xdr:col>0</xdr:col>
                    <xdr:colOff>76200</xdr:colOff>
                    <xdr:row>12</xdr:row>
                    <xdr:rowOff>30480</xdr:rowOff>
                  </from>
                  <to>
                    <xdr:col>1</xdr:col>
                    <xdr:colOff>213360</xdr:colOff>
                    <xdr:row>12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Option Button 71">
              <controlPr defaultSize="0" autoFill="0" autoLine="0" autoPict="0">
                <anchor moveWithCells="1">
                  <from>
                    <xdr:col>0</xdr:col>
                    <xdr:colOff>76200</xdr:colOff>
                    <xdr:row>12</xdr:row>
                    <xdr:rowOff>182880</xdr:rowOff>
                  </from>
                  <to>
                    <xdr:col>1</xdr:col>
                    <xdr:colOff>228600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Spinner 72">
              <controlPr defaultSize="0" autoPict="0">
                <anchor moveWithCells="1" sizeWithCells="1">
                  <from>
                    <xdr:col>11</xdr:col>
                    <xdr:colOff>411480</xdr:colOff>
                    <xdr:row>24</xdr:row>
                    <xdr:rowOff>22860</xdr:rowOff>
                  </from>
                  <to>
                    <xdr:col>11</xdr:col>
                    <xdr:colOff>784860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Spinner 73">
              <controlPr defaultSize="0" autoPict="0">
                <anchor moveWithCells="1" sizeWithCells="1">
                  <from>
                    <xdr:col>11</xdr:col>
                    <xdr:colOff>411480</xdr:colOff>
                    <xdr:row>24</xdr:row>
                    <xdr:rowOff>22860</xdr:rowOff>
                  </from>
                  <to>
                    <xdr:col>11</xdr:col>
                    <xdr:colOff>784860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Spinner 74">
              <controlPr defaultSize="0" autoPict="0">
                <anchor moveWithCells="1" sizeWithCells="1">
                  <from>
                    <xdr:col>11</xdr:col>
                    <xdr:colOff>411480</xdr:colOff>
                    <xdr:row>24</xdr:row>
                    <xdr:rowOff>22860</xdr:rowOff>
                  </from>
                  <to>
                    <xdr:col>11</xdr:col>
                    <xdr:colOff>784860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Spinner 75">
              <controlPr defaultSize="0" autoPict="0">
                <anchor moveWithCells="1" sizeWithCells="1">
                  <from>
                    <xdr:col>10</xdr:col>
                    <xdr:colOff>922020</xdr:colOff>
                    <xdr:row>24</xdr:row>
                    <xdr:rowOff>7620</xdr:rowOff>
                  </from>
                  <to>
                    <xdr:col>10</xdr:col>
                    <xdr:colOff>1295400</xdr:colOff>
                    <xdr:row>24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Spinner 76">
              <controlPr defaultSize="0" autoPict="0">
                <anchor moveWithCells="1" sizeWithCells="1">
                  <from>
                    <xdr:col>11</xdr:col>
                    <xdr:colOff>411480</xdr:colOff>
                    <xdr:row>25</xdr:row>
                    <xdr:rowOff>22860</xdr:rowOff>
                  </from>
                  <to>
                    <xdr:col>11</xdr:col>
                    <xdr:colOff>784860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Spinner 77">
              <controlPr defaultSize="0" autoPict="0">
                <anchor moveWithCells="1" sizeWithCells="1">
                  <from>
                    <xdr:col>11</xdr:col>
                    <xdr:colOff>411480</xdr:colOff>
                    <xdr:row>25</xdr:row>
                    <xdr:rowOff>22860</xdr:rowOff>
                  </from>
                  <to>
                    <xdr:col>11</xdr:col>
                    <xdr:colOff>784860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Spinner 78">
              <controlPr defaultSize="0" autoPict="0">
                <anchor moveWithCells="1" sizeWithCells="1">
                  <from>
                    <xdr:col>11</xdr:col>
                    <xdr:colOff>411480</xdr:colOff>
                    <xdr:row>25</xdr:row>
                    <xdr:rowOff>22860</xdr:rowOff>
                  </from>
                  <to>
                    <xdr:col>11</xdr:col>
                    <xdr:colOff>784860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Spinner 79">
              <controlPr defaultSize="0" autoPict="0">
                <anchor moveWithCells="1" sizeWithCells="1">
                  <from>
                    <xdr:col>10</xdr:col>
                    <xdr:colOff>922020</xdr:colOff>
                    <xdr:row>25</xdr:row>
                    <xdr:rowOff>7620</xdr:rowOff>
                  </from>
                  <to>
                    <xdr:col>10</xdr:col>
                    <xdr:colOff>1295400</xdr:colOff>
                    <xdr:row>25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Spinner 80">
              <controlPr defaultSize="0" autoPict="0">
                <anchor moveWithCells="1" sizeWithCells="1">
                  <from>
                    <xdr:col>10</xdr:col>
                    <xdr:colOff>922020</xdr:colOff>
                    <xdr:row>17</xdr:row>
                    <xdr:rowOff>7620</xdr:rowOff>
                  </from>
                  <to>
                    <xdr:col>10</xdr:col>
                    <xdr:colOff>1295400</xdr:colOff>
                    <xdr:row>17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Spinner 81">
              <controlPr defaultSize="0" autoPict="0">
                <anchor moveWithCells="1" sizeWithCells="1">
                  <from>
                    <xdr:col>10</xdr:col>
                    <xdr:colOff>922020</xdr:colOff>
                    <xdr:row>18</xdr:row>
                    <xdr:rowOff>7620</xdr:rowOff>
                  </from>
                  <to>
                    <xdr:col>10</xdr:col>
                    <xdr:colOff>1295400</xdr:colOff>
                    <xdr:row>18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Spinner 82">
              <controlPr defaultSize="0" autoPict="0">
                <anchor moveWithCells="1" sizeWithCells="1">
                  <from>
                    <xdr:col>10</xdr:col>
                    <xdr:colOff>922020</xdr:colOff>
                    <xdr:row>19</xdr:row>
                    <xdr:rowOff>7620</xdr:rowOff>
                  </from>
                  <to>
                    <xdr:col>10</xdr:col>
                    <xdr:colOff>1295400</xdr:colOff>
                    <xdr:row>19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Spinner 83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Spinner 84">
              <controlPr defaultSize="0" autoPict="0">
                <anchor moveWithCells="1" sizeWithCells="1">
                  <from>
                    <xdr:col>10</xdr:col>
                    <xdr:colOff>922020</xdr:colOff>
                    <xdr:row>24</xdr:row>
                    <xdr:rowOff>7620</xdr:rowOff>
                  </from>
                  <to>
                    <xdr:col>10</xdr:col>
                    <xdr:colOff>1295400</xdr:colOff>
                    <xdr:row>24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Spinner 85">
              <controlPr defaultSize="0" autoPict="0">
                <anchor moveWithCells="1" sizeWithCells="1">
                  <from>
                    <xdr:col>10</xdr:col>
                    <xdr:colOff>922020</xdr:colOff>
                    <xdr:row>25</xdr:row>
                    <xdr:rowOff>7620</xdr:rowOff>
                  </from>
                  <to>
                    <xdr:col>10</xdr:col>
                    <xdr:colOff>1295400</xdr:colOff>
                    <xdr:row>25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Spinner 86">
              <controlPr defaultSize="0" autoPict="0">
                <anchor moveWithCells="1" sizeWithCells="1">
                  <from>
                    <xdr:col>10</xdr:col>
                    <xdr:colOff>922020</xdr:colOff>
                    <xdr:row>17</xdr:row>
                    <xdr:rowOff>7620</xdr:rowOff>
                  </from>
                  <to>
                    <xdr:col>10</xdr:col>
                    <xdr:colOff>1295400</xdr:colOff>
                    <xdr:row>17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Spinner 87">
              <controlPr defaultSize="0" autoPict="0">
                <anchor moveWithCells="1" sizeWithCells="1">
                  <from>
                    <xdr:col>10</xdr:col>
                    <xdr:colOff>922020</xdr:colOff>
                    <xdr:row>18</xdr:row>
                    <xdr:rowOff>7620</xdr:rowOff>
                  </from>
                  <to>
                    <xdr:col>10</xdr:col>
                    <xdr:colOff>1295400</xdr:colOff>
                    <xdr:row>18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Spinner 88">
              <controlPr defaultSize="0" autoPict="0">
                <anchor moveWithCells="1" sizeWithCells="1">
                  <from>
                    <xdr:col>10</xdr:col>
                    <xdr:colOff>922020</xdr:colOff>
                    <xdr:row>19</xdr:row>
                    <xdr:rowOff>7620</xdr:rowOff>
                  </from>
                  <to>
                    <xdr:col>10</xdr:col>
                    <xdr:colOff>1295400</xdr:colOff>
                    <xdr:row>19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Spinner 89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Spinner 90">
              <controlPr defaultSize="0" autoPict="0">
                <anchor moveWithCells="1" sizeWithCells="1">
                  <from>
                    <xdr:col>10</xdr:col>
                    <xdr:colOff>922020</xdr:colOff>
                    <xdr:row>24</xdr:row>
                    <xdr:rowOff>7620</xdr:rowOff>
                  </from>
                  <to>
                    <xdr:col>10</xdr:col>
                    <xdr:colOff>1295400</xdr:colOff>
                    <xdr:row>24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Spinner 91">
              <controlPr defaultSize="0" autoPict="0">
                <anchor moveWithCells="1" sizeWithCells="1">
                  <from>
                    <xdr:col>10</xdr:col>
                    <xdr:colOff>922020</xdr:colOff>
                    <xdr:row>25</xdr:row>
                    <xdr:rowOff>7620</xdr:rowOff>
                  </from>
                  <to>
                    <xdr:col>10</xdr:col>
                    <xdr:colOff>1295400</xdr:colOff>
                    <xdr:row>25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Spinner 92">
              <controlPr defaultSize="0" autoPict="0">
                <anchor moveWithCells="1" sizeWithCells="1">
                  <from>
                    <xdr:col>11</xdr:col>
                    <xdr:colOff>411480</xdr:colOff>
                    <xdr:row>17</xdr:row>
                    <xdr:rowOff>22860</xdr:rowOff>
                  </from>
                  <to>
                    <xdr:col>11</xdr:col>
                    <xdr:colOff>784860</xdr:colOff>
                    <xdr:row>17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Spinner 93">
              <controlPr defaultSize="0" autoPict="0">
                <anchor moveWithCells="1" sizeWithCells="1">
                  <from>
                    <xdr:col>11</xdr:col>
                    <xdr:colOff>411480</xdr:colOff>
                    <xdr:row>18</xdr:row>
                    <xdr:rowOff>22860</xdr:rowOff>
                  </from>
                  <to>
                    <xdr:col>11</xdr:col>
                    <xdr:colOff>784860</xdr:colOff>
                    <xdr:row>18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Spinner 94">
              <controlPr defaultSize="0" autoPict="0">
                <anchor moveWithCells="1" sizeWithCells="1">
                  <from>
                    <xdr:col>11</xdr:col>
                    <xdr:colOff>411480</xdr:colOff>
                    <xdr:row>19</xdr:row>
                    <xdr:rowOff>22860</xdr:rowOff>
                  </from>
                  <to>
                    <xdr:col>11</xdr:col>
                    <xdr:colOff>784860</xdr:colOff>
                    <xdr:row>19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Spinner 95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Spinner 96">
              <controlPr defaultSize="0" autoPict="0">
                <anchor moveWithCells="1" sizeWithCells="1">
                  <from>
                    <xdr:col>11</xdr:col>
                    <xdr:colOff>411480</xdr:colOff>
                    <xdr:row>24</xdr:row>
                    <xdr:rowOff>22860</xdr:rowOff>
                  </from>
                  <to>
                    <xdr:col>11</xdr:col>
                    <xdr:colOff>784860</xdr:colOff>
                    <xdr:row>24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Spinner 97">
              <controlPr defaultSize="0" autoPict="0">
                <anchor moveWithCells="1" sizeWithCells="1">
                  <from>
                    <xdr:col>11</xdr:col>
                    <xdr:colOff>411480</xdr:colOff>
                    <xdr:row>25</xdr:row>
                    <xdr:rowOff>22860</xdr:rowOff>
                  </from>
                  <to>
                    <xdr:col>11</xdr:col>
                    <xdr:colOff>784860</xdr:colOff>
                    <xdr:row>25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Spinner 98">
              <controlPr defaultSize="0" autoPict="0">
                <anchor moveWithCells="1" sizeWithCells="1">
                  <from>
                    <xdr:col>10</xdr:col>
                    <xdr:colOff>922020</xdr:colOff>
                    <xdr:row>17</xdr:row>
                    <xdr:rowOff>7620</xdr:rowOff>
                  </from>
                  <to>
                    <xdr:col>10</xdr:col>
                    <xdr:colOff>1295400</xdr:colOff>
                    <xdr:row>17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Spinner 99">
              <controlPr defaultSize="0" autoPict="0">
                <anchor moveWithCells="1" sizeWithCells="1">
                  <from>
                    <xdr:col>10</xdr:col>
                    <xdr:colOff>922020</xdr:colOff>
                    <xdr:row>18</xdr:row>
                    <xdr:rowOff>7620</xdr:rowOff>
                  </from>
                  <to>
                    <xdr:col>10</xdr:col>
                    <xdr:colOff>1295400</xdr:colOff>
                    <xdr:row>18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Spinner 100">
              <controlPr defaultSize="0" autoPict="0">
                <anchor moveWithCells="1" sizeWithCells="1">
                  <from>
                    <xdr:col>10</xdr:col>
                    <xdr:colOff>922020</xdr:colOff>
                    <xdr:row>19</xdr:row>
                    <xdr:rowOff>7620</xdr:rowOff>
                  </from>
                  <to>
                    <xdr:col>10</xdr:col>
                    <xdr:colOff>1295400</xdr:colOff>
                    <xdr:row>19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Spinner 101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Spinner 102">
              <controlPr defaultSize="0" autoPict="0">
                <anchor moveWithCells="1" sizeWithCells="1">
                  <from>
                    <xdr:col>10</xdr:col>
                    <xdr:colOff>922020</xdr:colOff>
                    <xdr:row>24</xdr:row>
                    <xdr:rowOff>7620</xdr:rowOff>
                  </from>
                  <to>
                    <xdr:col>10</xdr:col>
                    <xdr:colOff>1295400</xdr:colOff>
                    <xdr:row>24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Spinner 103">
              <controlPr defaultSize="0" autoPict="0">
                <anchor moveWithCells="1" sizeWithCells="1">
                  <from>
                    <xdr:col>10</xdr:col>
                    <xdr:colOff>922020</xdr:colOff>
                    <xdr:row>25</xdr:row>
                    <xdr:rowOff>7620</xdr:rowOff>
                  </from>
                  <to>
                    <xdr:col>10</xdr:col>
                    <xdr:colOff>1295400</xdr:colOff>
                    <xdr:row>25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Spinner 104">
              <controlPr defaultSize="0" autoPict="0">
                <anchor moveWithCells="1" sizeWithCells="1">
                  <from>
                    <xdr:col>10</xdr:col>
                    <xdr:colOff>922020</xdr:colOff>
                    <xdr:row>17</xdr:row>
                    <xdr:rowOff>7620</xdr:rowOff>
                  </from>
                  <to>
                    <xdr:col>10</xdr:col>
                    <xdr:colOff>1295400</xdr:colOff>
                    <xdr:row>17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Spinner 105">
              <controlPr defaultSize="0" autoPict="0">
                <anchor moveWithCells="1" sizeWithCells="1">
                  <from>
                    <xdr:col>10</xdr:col>
                    <xdr:colOff>922020</xdr:colOff>
                    <xdr:row>18</xdr:row>
                    <xdr:rowOff>7620</xdr:rowOff>
                  </from>
                  <to>
                    <xdr:col>10</xdr:col>
                    <xdr:colOff>1295400</xdr:colOff>
                    <xdr:row>18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Spinner 106">
              <controlPr defaultSize="0" autoPict="0">
                <anchor moveWithCells="1" sizeWithCells="1">
                  <from>
                    <xdr:col>10</xdr:col>
                    <xdr:colOff>922020</xdr:colOff>
                    <xdr:row>19</xdr:row>
                    <xdr:rowOff>7620</xdr:rowOff>
                  </from>
                  <to>
                    <xdr:col>10</xdr:col>
                    <xdr:colOff>1295400</xdr:colOff>
                    <xdr:row>19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Spinner 107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1" name="Spinner 108">
              <controlPr defaultSize="0" autoPict="0">
                <anchor moveWithCells="1" sizeWithCells="1">
                  <from>
                    <xdr:col>10</xdr:col>
                    <xdr:colOff>922020</xdr:colOff>
                    <xdr:row>24</xdr:row>
                    <xdr:rowOff>7620</xdr:rowOff>
                  </from>
                  <to>
                    <xdr:col>10</xdr:col>
                    <xdr:colOff>1295400</xdr:colOff>
                    <xdr:row>24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2" name="Spinner 109">
              <controlPr defaultSize="0" autoPict="0">
                <anchor moveWithCells="1" sizeWithCells="1">
                  <from>
                    <xdr:col>10</xdr:col>
                    <xdr:colOff>922020</xdr:colOff>
                    <xdr:row>25</xdr:row>
                    <xdr:rowOff>7620</xdr:rowOff>
                  </from>
                  <to>
                    <xdr:col>10</xdr:col>
                    <xdr:colOff>1295400</xdr:colOff>
                    <xdr:row>25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3" name="Spinner 110">
              <controlPr defaultSize="0" autoPict="0">
                <anchor moveWithCells="1" sizeWithCells="1">
                  <from>
                    <xdr:col>11</xdr:col>
                    <xdr:colOff>411480</xdr:colOff>
                    <xdr:row>20</xdr:row>
                    <xdr:rowOff>22860</xdr:rowOff>
                  </from>
                  <to>
                    <xdr:col>11</xdr:col>
                    <xdr:colOff>784860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4" name="Spinner 111">
              <controlPr defaultSize="0" autoPict="0">
                <anchor moveWithCells="1" sizeWithCells="1">
                  <from>
                    <xdr:col>11</xdr:col>
                    <xdr:colOff>411480</xdr:colOff>
                    <xdr:row>20</xdr:row>
                    <xdr:rowOff>22860</xdr:rowOff>
                  </from>
                  <to>
                    <xdr:col>11</xdr:col>
                    <xdr:colOff>784860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5" name="Spinner 112">
              <controlPr defaultSize="0" autoPict="0">
                <anchor moveWithCells="1" sizeWithCells="1">
                  <from>
                    <xdr:col>11</xdr:col>
                    <xdr:colOff>411480</xdr:colOff>
                    <xdr:row>20</xdr:row>
                    <xdr:rowOff>22860</xdr:rowOff>
                  </from>
                  <to>
                    <xdr:col>11</xdr:col>
                    <xdr:colOff>784860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116" name="Spinner 113">
              <controlPr defaultSize="0" autoPict="0">
                <anchor moveWithCells="1" sizeWithCells="1">
                  <from>
                    <xdr:col>10</xdr:col>
                    <xdr:colOff>922020</xdr:colOff>
                    <xdr:row>20</xdr:row>
                    <xdr:rowOff>7620</xdr:rowOff>
                  </from>
                  <to>
                    <xdr:col>10</xdr:col>
                    <xdr:colOff>1295400</xdr:colOff>
                    <xdr:row>20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117" name="Spinner 114">
              <controlPr defaultSize="0" autoPict="0">
                <anchor moveWithCells="1" sizeWithCells="1">
                  <from>
                    <xdr:col>10</xdr:col>
                    <xdr:colOff>922020</xdr:colOff>
                    <xdr:row>20</xdr:row>
                    <xdr:rowOff>7620</xdr:rowOff>
                  </from>
                  <to>
                    <xdr:col>10</xdr:col>
                    <xdr:colOff>1295400</xdr:colOff>
                    <xdr:row>20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118" name="Spinner 115">
              <controlPr defaultSize="0" autoPict="0">
                <anchor moveWithCells="1" sizeWithCells="1">
                  <from>
                    <xdr:col>10</xdr:col>
                    <xdr:colOff>922020</xdr:colOff>
                    <xdr:row>20</xdr:row>
                    <xdr:rowOff>7620</xdr:rowOff>
                  </from>
                  <to>
                    <xdr:col>10</xdr:col>
                    <xdr:colOff>1295400</xdr:colOff>
                    <xdr:row>20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119" name="Spinner 116">
              <controlPr defaultSize="0" autoPict="0">
                <anchor moveWithCells="1" sizeWithCells="1">
                  <from>
                    <xdr:col>11</xdr:col>
                    <xdr:colOff>411480</xdr:colOff>
                    <xdr:row>20</xdr:row>
                    <xdr:rowOff>22860</xdr:rowOff>
                  </from>
                  <to>
                    <xdr:col>11</xdr:col>
                    <xdr:colOff>784860</xdr:colOff>
                    <xdr:row>20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120" name="Spinner 117">
              <controlPr defaultSize="0" autoPict="0">
                <anchor moveWithCells="1" sizeWithCells="1">
                  <from>
                    <xdr:col>10</xdr:col>
                    <xdr:colOff>922020</xdr:colOff>
                    <xdr:row>20</xdr:row>
                    <xdr:rowOff>7620</xdr:rowOff>
                  </from>
                  <to>
                    <xdr:col>10</xdr:col>
                    <xdr:colOff>1295400</xdr:colOff>
                    <xdr:row>20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121" name="Spinner 118">
              <controlPr defaultSize="0" autoPict="0">
                <anchor moveWithCells="1" sizeWithCells="1">
                  <from>
                    <xdr:col>10</xdr:col>
                    <xdr:colOff>922020</xdr:colOff>
                    <xdr:row>20</xdr:row>
                    <xdr:rowOff>7620</xdr:rowOff>
                  </from>
                  <to>
                    <xdr:col>10</xdr:col>
                    <xdr:colOff>1295400</xdr:colOff>
                    <xdr:row>20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122" name="Spinner 119">
              <controlPr defaultSize="0" autoPict="0">
                <anchor moveWithCells="1" sizeWithCells="1">
                  <from>
                    <xdr:col>11</xdr:col>
                    <xdr:colOff>411480</xdr:colOff>
                    <xdr:row>21</xdr:row>
                    <xdr:rowOff>22860</xdr:rowOff>
                  </from>
                  <to>
                    <xdr:col>11</xdr:col>
                    <xdr:colOff>784860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123" name="Spinner 120">
              <controlPr defaultSize="0" autoPict="0">
                <anchor moveWithCells="1" sizeWithCells="1">
                  <from>
                    <xdr:col>11</xdr:col>
                    <xdr:colOff>411480</xdr:colOff>
                    <xdr:row>21</xdr:row>
                    <xdr:rowOff>22860</xdr:rowOff>
                  </from>
                  <to>
                    <xdr:col>11</xdr:col>
                    <xdr:colOff>784860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124" name="Spinner 121">
              <controlPr defaultSize="0" autoPict="0">
                <anchor moveWithCells="1" sizeWithCells="1">
                  <from>
                    <xdr:col>11</xdr:col>
                    <xdr:colOff>411480</xdr:colOff>
                    <xdr:row>21</xdr:row>
                    <xdr:rowOff>22860</xdr:rowOff>
                  </from>
                  <to>
                    <xdr:col>11</xdr:col>
                    <xdr:colOff>784860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125" name="Spinner 122">
              <controlPr defaultSize="0" autoPict="0">
                <anchor moveWithCells="1" sizeWithCells="1">
                  <from>
                    <xdr:col>10</xdr:col>
                    <xdr:colOff>922020</xdr:colOff>
                    <xdr:row>21</xdr:row>
                    <xdr:rowOff>7620</xdr:rowOff>
                  </from>
                  <to>
                    <xdr:col>10</xdr:col>
                    <xdr:colOff>1295400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126" name="Spinner 123">
              <controlPr defaultSize="0" autoPict="0">
                <anchor moveWithCells="1" sizeWithCells="1">
                  <from>
                    <xdr:col>10</xdr:col>
                    <xdr:colOff>922020</xdr:colOff>
                    <xdr:row>21</xdr:row>
                    <xdr:rowOff>7620</xdr:rowOff>
                  </from>
                  <to>
                    <xdr:col>10</xdr:col>
                    <xdr:colOff>1295400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127" name="Spinner 124">
              <controlPr defaultSize="0" autoPict="0">
                <anchor moveWithCells="1" sizeWithCells="1">
                  <from>
                    <xdr:col>10</xdr:col>
                    <xdr:colOff>922020</xdr:colOff>
                    <xdr:row>21</xdr:row>
                    <xdr:rowOff>7620</xdr:rowOff>
                  </from>
                  <to>
                    <xdr:col>10</xdr:col>
                    <xdr:colOff>1295400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128" name="Spinner 125">
              <controlPr defaultSize="0" autoPict="0">
                <anchor moveWithCells="1" sizeWithCells="1">
                  <from>
                    <xdr:col>11</xdr:col>
                    <xdr:colOff>411480</xdr:colOff>
                    <xdr:row>21</xdr:row>
                    <xdr:rowOff>22860</xdr:rowOff>
                  </from>
                  <to>
                    <xdr:col>11</xdr:col>
                    <xdr:colOff>784860</xdr:colOff>
                    <xdr:row>21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129" name="Spinner 126">
              <controlPr defaultSize="0" autoPict="0">
                <anchor moveWithCells="1" sizeWithCells="1">
                  <from>
                    <xdr:col>10</xdr:col>
                    <xdr:colOff>922020</xdr:colOff>
                    <xdr:row>21</xdr:row>
                    <xdr:rowOff>7620</xdr:rowOff>
                  </from>
                  <to>
                    <xdr:col>10</xdr:col>
                    <xdr:colOff>1295400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130" name="Spinner 127">
              <controlPr defaultSize="0" autoPict="0">
                <anchor moveWithCells="1" sizeWithCells="1">
                  <from>
                    <xdr:col>10</xdr:col>
                    <xdr:colOff>922020</xdr:colOff>
                    <xdr:row>21</xdr:row>
                    <xdr:rowOff>7620</xdr:rowOff>
                  </from>
                  <to>
                    <xdr:col>10</xdr:col>
                    <xdr:colOff>1295400</xdr:colOff>
                    <xdr:row>21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131" name="Spinner 128">
              <controlPr defaultSize="0" autoPict="0">
                <anchor moveWithCells="1" sizeWithCells="1">
                  <from>
                    <xdr:col>11</xdr:col>
                    <xdr:colOff>411480</xdr:colOff>
                    <xdr:row>22</xdr:row>
                    <xdr:rowOff>22860</xdr:rowOff>
                  </from>
                  <to>
                    <xdr:col>11</xdr:col>
                    <xdr:colOff>784860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132" name="Spinner 129">
              <controlPr defaultSize="0" autoPict="0">
                <anchor moveWithCells="1" sizeWithCells="1">
                  <from>
                    <xdr:col>11</xdr:col>
                    <xdr:colOff>411480</xdr:colOff>
                    <xdr:row>22</xdr:row>
                    <xdr:rowOff>22860</xdr:rowOff>
                  </from>
                  <to>
                    <xdr:col>11</xdr:col>
                    <xdr:colOff>784860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133" name="Spinner 130">
              <controlPr defaultSize="0" autoPict="0">
                <anchor moveWithCells="1" sizeWithCells="1">
                  <from>
                    <xdr:col>11</xdr:col>
                    <xdr:colOff>411480</xdr:colOff>
                    <xdr:row>22</xdr:row>
                    <xdr:rowOff>22860</xdr:rowOff>
                  </from>
                  <to>
                    <xdr:col>11</xdr:col>
                    <xdr:colOff>784860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134" name="Spinner 131">
              <controlPr defaultSize="0" autoPict="0">
                <anchor moveWithCells="1" sizeWithCells="1">
                  <from>
                    <xdr:col>10</xdr:col>
                    <xdr:colOff>922020</xdr:colOff>
                    <xdr:row>22</xdr:row>
                    <xdr:rowOff>7620</xdr:rowOff>
                  </from>
                  <to>
                    <xdr:col>10</xdr:col>
                    <xdr:colOff>1295400</xdr:colOff>
                    <xdr:row>22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135" name="Spinner 132">
              <controlPr defaultSize="0" autoPict="0">
                <anchor moveWithCells="1" sizeWithCells="1">
                  <from>
                    <xdr:col>10</xdr:col>
                    <xdr:colOff>922020</xdr:colOff>
                    <xdr:row>22</xdr:row>
                    <xdr:rowOff>7620</xdr:rowOff>
                  </from>
                  <to>
                    <xdr:col>10</xdr:col>
                    <xdr:colOff>1295400</xdr:colOff>
                    <xdr:row>22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136" name="Spinner 133">
              <controlPr defaultSize="0" autoPict="0">
                <anchor moveWithCells="1" sizeWithCells="1">
                  <from>
                    <xdr:col>10</xdr:col>
                    <xdr:colOff>922020</xdr:colOff>
                    <xdr:row>22</xdr:row>
                    <xdr:rowOff>7620</xdr:rowOff>
                  </from>
                  <to>
                    <xdr:col>10</xdr:col>
                    <xdr:colOff>1295400</xdr:colOff>
                    <xdr:row>22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137" name="Spinner 134">
              <controlPr defaultSize="0" autoPict="0">
                <anchor moveWithCells="1" sizeWithCells="1">
                  <from>
                    <xdr:col>11</xdr:col>
                    <xdr:colOff>411480</xdr:colOff>
                    <xdr:row>22</xdr:row>
                    <xdr:rowOff>22860</xdr:rowOff>
                  </from>
                  <to>
                    <xdr:col>11</xdr:col>
                    <xdr:colOff>784860</xdr:colOff>
                    <xdr:row>22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138" name="Spinner 135">
              <controlPr defaultSize="0" autoPict="0">
                <anchor moveWithCells="1" sizeWithCells="1">
                  <from>
                    <xdr:col>10</xdr:col>
                    <xdr:colOff>922020</xdr:colOff>
                    <xdr:row>22</xdr:row>
                    <xdr:rowOff>7620</xdr:rowOff>
                  </from>
                  <to>
                    <xdr:col>10</xdr:col>
                    <xdr:colOff>1295400</xdr:colOff>
                    <xdr:row>22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139" name="Spinner 136">
              <controlPr defaultSize="0" autoPict="0">
                <anchor moveWithCells="1" sizeWithCells="1">
                  <from>
                    <xdr:col>10</xdr:col>
                    <xdr:colOff>922020</xdr:colOff>
                    <xdr:row>22</xdr:row>
                    <xdr:rowOff>7620</xdr:rowOff>
                  </from>
                  <to>
                    <xdr:col>10</xdr:col>
                    <xdr:colOff>1295400</xdr:colOff>
                    <xdr:row>22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140" name="Spinner 137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141" name="Spinner 138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142" name="Spinner 139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143" name="Spinner 140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144" name="Spinner 141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145" name="Spinner 142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146" name="Spinner 143">
              <controlPr defaultSize="0" autoPict="0">
                <anchor moveWithCells="1" sizeWithCells="1">
                  <from>
                    <xdr:col>11</xdr:col>
                    <xdr:colOff>411480</xdr:colOff>
                    <xdr:row>23</xdr:row>
                    <xdr:rowOff>22860</xdr:rowOff>
                  </from>
                  <to>
                    <xdr:col>11</xdr:col>
                    <xdr:colOff>784860</xdr:colOff>
                    <xdr:row>23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147" name="Spinner 144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148" name="Spinner 145">
              <controlPr defaultSize="0" autoPict="0">
                <anchor moveWithCells="1" sizeWithCells="1">
                  <from>
                    <xdr:col>10</xdr:col>
                    <xdr:colOff>922020</xdr:colOff>
                    <xdr:row>23</xdr:row>
                    <xdr:rowOff>7620</xdr:rowOff>
                  </from>
                  <to>
                    <xdr:col>10</xdr:col>
                    <xdr:colOff>1295400</xdr:colOff>
                    <xdr:row>23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149" name="Spinner 146">
              <controlPr defaultSize="0" autoPict="0">
                <anchor moveWithCells="1" sizeWithCells="1">
                  <from>
                    <xdr:col>11</xdr:col>
                    <xdr:colOff>411480</xdr:colOff>
                    <xdr:row>26</xdr:row>
                    <xdr:rowOff>22860</xdr:rowOff>
                  </from>
                  <to>
                    <xdr:col>11</xdr:col>
                    <xdr:colOff>784860</xdr:colOff>
                    <xdr:row>26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150" name="Spinner 147">
              <controlPr defaultSize="0" autoPict="0">
                <anchor moveWithCells="1" sizeWithCells="1">
                  <from>
                    <xdr:col>11</xdr:col>
                    <xdr:colOff>411480</xdr:colOff>
                    <xdr:row>26</xdr:row>
                    <xdr:rowOff>22860</xdr:rowOff>
                  </from>
                  <to>
                    <xdr:col>11</xdr:col>
                    <xdr:colOff>784860</xdr:colOff>
                    <xdr:row>26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151" name="Spinner 148">
              <controlPr defaultSize="0" autoPict="0">
                <anchor moveWithCells="1" sizeWithCells="1">
                  <from>
                    <xdr:col>11</xdr:col>
                    <xdr:colOff>411480</xdr:colOff>
                    <xdr:row>26</xdr:row>
                    <xdr:rowOff>22860</xdr:rowOff>
                  </from>
                  <to>
                    <xdr:col>11</xdr:col>
                    <xdr:colOff>784860</xdr:colOff>
                    <xdr:row>26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152" name="Spinner 149">
              <controlPr defaultSize="0" autoPict="0">
                <anchor moveWithCells="1" sizeWithCells="1">
                  <from>
                    <xdr:col>10</xdr:col>
                    <xdr:colOff>922020</xdr:colOff>
                    <xdr:row>26</xdr:row>
                    <xdr:rowOff>7620</xdr:rowOff>
                  </from>
                  <to>
                    <xdr:col>10</xdr:col>
                    <xdr:colOff>1295400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153" name="Spinner 150">
              <controlPr defaultSize="0" autoPict="0">
                <anchor moveWithCells="1" sizeWithCells="1">
                  <from>
                    <xdr:col>10</xdr:col>
                    <xdr:colOff>922020</xdr:colOff>
                    <xdr:row>26</xdr:row>
                    <xdr:rowOff>7620</xdr:rowOff>
                  </from>
                  <to>
                    <xdr:col>10</xdr:col>
                    <xdr:colOff>1295400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154" name="Spinner 151">
              <controlPr defaultSize="0" autoPict="0">
                <anchor moveWithCells="1" sizeWithCells="1">
                  <from>
                    <xdr:col>10</xdr:col>
                    <xdr:colOff>922020</xdr:colOff>
                    <xdr:row>26</xdr:row>
                    <xdr:rowOff>7620</xdr:rowOff>
                  </from>
                  <to>
                    <xdr:col>10</xdr:col>
                    <xdr:colOff>1295400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155" name="Spinner 152">
              <controlPr defaultSize="0" autoPict="0">
                <anchor moveWithCells="1" sizeWithCells="1">
                  <from>
                    <xdr:col>11</xdr:col>
                    <xdr:colOff>411480</xdr:colOff>
                    <xdr:row>26</xdr:row>
                    <xdr:rowOff>22860</xdr:rowOff>
                  </from>
                  <to>
                    <xdr:col>11</xdr:col>
                    <xdr:colOff>784860</xdr:colOff>
                    <xdr:row>26</xdr:row>
                    <xdr:rowOff>251460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156" name="Spinner 153">
              <controlPr defaultSize="0" autoPict="0">
                <anchor moveWithCells="1" sizeWithCells="1">
                  <from>
                    <xdr:col>10</xdr:col>
                    <xdr:colOff>922020</xdr:colOff>
                    <xdr:row>26</xdr:row>
                    <xdr:rowOff>7620</xdr:rowOff>
                  </from>
                  <to>
                    <xdr:col>10</xdr:col>
                    <xdr:colOff>1295400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157" name="Spinner 154">
              <controlPr defaultSize="0" autoPict="0">
                <anchor moveWithCells="1" sizeWithCells="1">
                  <from>
                    <xdr:col>10</xdr:col>
                    <xdr:colOff>922020</xdr:colOff>
                    <xdr:row>26</xdr:row>
                    <xdr:rowOff>7620</xdr:rowOff>
                  </from>
                  <to>
                    <xdr:col>10</xdr:col>
                    <xdr:colOff>1295400</xdr:colOff>
                    <xdr:row>26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158" name="Spinner 155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159" name="Spinner 156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160" name="Spinner 157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161" name="Spinner 158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162" name="Spinner 159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163" name="Spinner 160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164" name="Spinner 161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165" name="Spinner 162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166" name="Spinner 163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167" name="Spinner 164">
              <controlPr defaultSize="0" autoPict="0">
                <anchor moveWithCells="1" sizeWithCells="1">
                  <from>
                    <xdr:col>10</xdr:col>
                    <xdr:colOff>922020</xdr:colOff>
                    <xdr:row>16</xdr:row>
                    <xdr:rowOff>7620</xdr:rowOff>
                  </from>
                  <to>
                    <xdr:col>10</xdr:col>
                    <xdr:colOff>1295400</xdr:colOff>
                    <xdr:row>16</xdr:row>
                    <xdr:rowOff>236220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F6813B-0938-40C4-96C6-4D8026F02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F17:F27</xm:sqref>
        </x14:conditionalFormatting>
        <x14:conditionalFormatting xmlns:xm="http://schemas.microsoft.com/office/excel/2006/main">
          <x14:cfRule type="dataBar" id="{B844BF02-16C7-49BA-8DFA-9CF116F5B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N17:N26</xm:sqref>
        </x14:conditionalFormatting>
        <x14:conditionalFormatting xmlns:xm="http://schemas.microsoft.com/office/excel/2006/main">
          <x14:cfRule type="dataBar" id="{BF7A3F8C-6E9C-4B6E-8126-D692C45B66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P17:P26</xm:sqref>
        </x14:conditionalFormatting>
        <x14:conditionalFormatting xmlns:xm="http://schemas.microsoft.com/office/excel/2006/main">
          <x14:cfRule type="dataBar" id="{FCAC394D-F477-4574-9D54-476FE389D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T17:T27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6697-E2B9-421F-9F01-99792C00DEA7}">
  <sheetPr codeName="Planilha25">
    <tabColor theme="0" tint="-0.499984740745262"/>
  </sheetPr>
  <dimension ref="A1:O5"/>
  <sheetViews>
    <sheetView workbookViewId="0">
      <selection activeCell="D2" sqref="D2"/>
    </sheetView>
  </sheetViews>
  <sheetFormatPr defaultRowHeight="14.4" x14ac:dyDescent="0.3"/>
  <cols>
    <col min="1" max="1" width="17.5546875" style="48" customWidth="1"/>
    <col min="2" max="2" width="9.44140625" style="48" bestFit="1" customWidth="1"/>
    <col min="3" max="3" width="8.109375" style="48" bestFit="1" customWidth="1"/>
    <col min="4" max="4" width="14.33203125" style="48" bestFit="1" customWidth="1"/>
    <col min="5" max="5" width="8" style="48" bestFit="1" customWidth="1"/>
    <col min="6" max="6" width="15.6640625" style="48" bestFit="1" customWidth="1"/>
    <col min="7" max="7" width="16.6640625" style="48" bestFit="1" customWidth="1"/>
    <col min="8" max="8" width="11" style="48" bestFit="1" customWidth="1"/>
    <col min="9" max="9" width="20.109375" style="48" bestFit="1" customWidth="1"/>
    <col min="10" max="10" width="8.5546875" style="120" bestFit="1" customWidth="1"/>
    <col min="11" max="11" width="14.44140625" style="48" bestFit="1" customWidth="1"/>
    <col min="12" max="12" width="15" style="10" bestFit="1" customWidth="1"/>
  </cols>
  <sheetData>
    <row r="1" spans="1:15" x14ac:dyDescent="0.3">
      <c r="A1" s="79" t="s">
        <v>144</v>
      </c>
      <c r="B1" s="79" t="s">
        <v>51</v>
      </c>
      <c r="C1" s="79" t="s">
        <v>146</v>
      </c>
      <c r="D1" s="79" t="s">
        <v>147</v>
      </c>
      <c r="E1" s="79" t="s">
        <v>2</v>
      </c>
      <c r="F1" s="79" t="s">
        <v>16</v>
      </c>
      <c r="G1" s="79" t="s">
        <v>17</v>
      </c>
      <c r="H1" s="79" t="s">
        <v>150</v>
      </c>
      <c r="I1" s="80" t="s">
        <v>151</v>
      </c>
      <c r="J1" s="114" t="s">
        <v>19</v>
      </c>
      <c r="K1" s="80" t="s">
        <v>169</v>
      </c>
      <c r="L1" s="115" t="s">
        <v>152</v>
      </c>
      <c r="M1" s="116"/>
      <c r="N1" s="116"/>
      <c r="O1" s="116"/>
    </row>
    <row r="2" spans="1:15" x14ac:dyDescent="0.3">
      <c r="A2" s="5" t="s">
        <v>170</v>
      </c>
      <c r="B2" s="8">
        <v>50</v>
      </c>
      <c r="C2" s="12">
        <v>3</v>
      </c>
      <c r="D2" s="14">
        <v>5000</v>
      </c>
      <c r="E2" s="6" t="s">
        <v>159</v>
      </c>
      <c r="F2" s="11">
        <v>1</v>
      </c>
      <c r="G2" s="11">
        <v>1</v>
      </c>
      <c r="H2" s="11" t="s">
        <v>171</v>
      </c>
      <c r="I2" s="16">
        <v>25</v>
      </c>
      <c r="J2" s="17">
        <v>25</v>
      </c>
      <c r="K2" s="11" t="s">
        <v>21</v>
      </c>
      <c r="L2" s="44">
        <v>6.46</v>
      </c>
      <c r="M2" s="117"/>
      <c r="N2" s="117"/>
      <c r="O2" s="118"/>
    </row>
    <row r="3" spans="1:15" x14ac:dyDescent="0.3">
      <c r="A3" s="5" t="s">
        <v>170</v>
      </c>
      <c r="B3" s="8">
        <v>50</v>
      </c>
      <c r="C3" s="12">
        <v>3</v>
      </c>
      <c r="D3" s="14">
        <v>10000</v>
      </c>
      <c r="E3" s="6" t="s">
        <v>159</v>
      </c>
      <c r="F3" s="11">
        <v>1</v>
      </c>
      <c r="G3" s="11">
        <v>2</v>
      </c>
      <c r="H3" s="11" t="s">
        <v>171</v>
      </c>
      <c r="I3" s="16">
        <v>25</v>
      </c>
      <c r="J3" s="17">
        <v>25</v>
      </c>
      <c r="K3" s="11" t="s">
        <v>21</v>
      </c>
      <c r="L3" s="119">
        <v>9.94</v>
      </c>
    </row>
    <row r="4" spans="1:15" x14ac:dyDescent="0.3">
      <c r="A4" s="5" t="s">
        <v>172</v>
      </c>
      <c r="B4" s="8">
        <v>60</v>
      </c>
      <c r="C4" s="12">
        <v>3</v>
      </c>
      <c r="D4" s="14">
        <v>10000</v>
      </c>
      <c r="E4" s="6" t="s">
        <v>159</v>
      </c>
      <c r="F4" s="11">
        <v>1</v>
      </c>
      <c r="G4" s="11">
        <v>2</v>
      </c>
      <c r="H4" s="11" t="s">
        <v>171</v>
      </c>
      <c r="I4" s="16">
        <v>25</v>
      </c>
      <c r="J4" s="17">
        <v>25</v>
      </c>
      <c r="K4" s="11" t="s">
        <v>21</v>
      </c>
      <c r="L4" s="10">
        <v>9.2799999999999994</v>
      </c>
    </row>
    <row r="5" spans="1:15" x14ac:dyDescent="0.3">
      <c r="A5" s="5"/>
      <c r="B5" s="8"/>
      <c r="C5" s="12"/>
      <c r="D5" s="14"/>
      <c r="E5" s="6"/>
      <c r="F5" s="11"/>
      <c r="G5" s="11"/>
      <c r="H5" s="11"/>
      <c r="I5" s="16"/>
      <c r="J5" s="17"/>
      <c r="K5" s="11"/>
    </row>
  </sheetData>
  <dataValidations count="2">
    <dataValidation type="list" allowBlank="1" showInputMessage="1" showErrorMessage="1" sqref="K2:K5" xr:uid="{F3C705C1-BD94-40EE-A716-AE3692CC8845}">
      <formula1>"Manual/Detecção,FM200,NOVEC,FirePRO,N/I,"</formula1>
    </dataValidation>
    <dataValidation type="list" allowBlank="1" showInputMessage="1" showErrorMessage="1" sqref="H2:H5" xr:uid="{331019F3-18E1-4D52-A5E3-8AE9D7885FFB}">
      <formula1>"Alvenaria, Eletrocentro,"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66A8-1577-4C34-94A7-44DD0F9E68A9}">
  <dimension ref="A1:K122"/>
  <sheetViews>
    <sheetView tabSelected="1" topLeftCell="A92" workbookViewId="0">
      <selection activeCell="A97" sqref="A97:XFD97"/>
    </sheetView>
  </sheetViews>
  <sheetFormatPr defaultRowHeight="14.4" x14ac:dyDescent="0.3"/>
  <cols>
    <col min="1" max="1" width="34" bestFit="1" customWidth="1"/>
    <col min="4" max="4" width="10.33203125" customWidth="1"/>
    <col min="5" max="5" width="14.33203125" customWidth="1"/>
  </cols>
  <sheetData>
    <row r="1" spans="1:11" x14ac:dyDescent="0.3">
      <c r="A1" s="234" t="s">
        <v>173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x14ac:dyDescent="0.3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 x14ac:dyDescent="0.3">
      <c r="A3" s="3" t="s">
        <v>237</v>
      </c>
    </row>
    <row r="4" spans="1:11" x14ac:dyDescent="0.3">
      <c r="A4" s="132" t="s">
        <v>174</v>
      </c>
      <c r="B4" s="133"/>
      <c r="C4" s="133"/>
      <c r="D4" s="132" t="s">
        <v>177</v>
      </c>
      <c r="E4" s="133"/>
      <c r="F4" s="133"/>
      <c r="G4" s="3"/>
    </row>
    <row r="5" spans="1:11" x14ac:dyDescent="0.3">
      <c r="A5" s="133" t="s">
        <v>175</v>
      </c>
      <c r="B5" s="133"/>
      <c r="C5" s="133"/>
      <c r="D5" s="133" t="s">
        <v>189</v>
      </c>
      <c r="E5" s="133"/>
      <c r="F5" s="133"/>
    </row>
    <row r="6" spans="1:11" x14ac:dyDescent="0.3">
      <c r="A6" s="133" t="s">
        <v>176</v>
      </c>
      <c r="B6" s="133"/>
      <c r="C6" s="133"/>
      <c r="D6" s="133" t="s">
        <v>190</v>
      </c>
      <c r="E6" s="133"/>
      <c r="F6" s="133"/>
    </row>
    <row r="7" spans="1:11" x14ac:dyDescent="0.3">
      <c r="A7" s="133" t="s">
        <v>193</v>
      </c>
      <c r="B7" s="133"/>
      <c r="C7" s="133"/>
      <c r="D7" s="133" t="s">
        <v>194</v>
      </c>
      <c r="E7" s="133"/>
      <c r="F7" s="133"/>
    </row>
    <row r="8" spans="1:11" x14ac:dyDescent="0.3">
      <c r="A8" s="133" t="s">
        <v>4</v>
      </c>
      <c r="B8" s="133"/>
      <c r="C8" s="133"/>
      <c r="D8" s="133" t="s">
        <v>178</v>
      </c>
      <c r="E8" s="133"/>
      <c r="F8" s="133"/>
    </row>
    <row r="9" spans="1:11" x14ac:dyDescent="0.3">
      <c r="A9" s="133" t="s">
        <v>185</v>
      </c>
      <c r="B9" s="133"/>
      <c r="C9" s="133"/>
      <c r="D9" s="133" t="s">
        <v>186</v>
      </c>
      <c r="E9" s="133"/>
      <c r="F9" s="134"/>
    </row>
    <row r="10" spans="1:11" x14ac:dyDescent="0.3">
      <c r="A10" s="133" t="s">
        <v>187</v>
      </c>
      <c r="B10" s="133"/>
      <c r="C10" s="133"/>
      <c r="D10" s="133" t="s">
        <v>188</v>
      </c>
      <c r="E10" s="133"/>
      <c r="F10" s="133"/>
    </row>
    <row r="11" spans="1:11" x14ac:dyDescent="0.3">
      <c r="A11" s="133" t="s">
        <v>19</v>
      </c>
      <c r="B11" s="133"/>
      <c r="C11" s="133"/>
      <c r="D11" s="133" t="s">
        <v>196</v>
      </c>
      <c r="E11" s="133"/>
      <c r="F11" s="133"/>
    </row>
    <row r="12" spans="1:11" x14ac:dyDescent="0.3">
      <c r="A12" s="133"/>
      <c r="B12" s="133"/>
      <c r="C12" s="133"/>
      <c r="D12" s="133"/>
      <c r="E12" s="133"/>
      <c r="F12" s="133"/>
    </row>
    <row r="13" spans="1:11" x14ac:dyDescent="0.3">
      <c r="A13" s="133" t="s">
        <v>195</v>
      </c>
      <c r="B13" s="133"/>
      <c r="C13" s="133"/>
      <c r="D13" s="133" t="s">
        <v>226</v>
      </c>
      <c r="E13" s="133"/>
      <c r="F13" s="133"/>
    </row>
    <row r="14" spans="1:11" x14ac:dyDescent="0.3">
      <c r="A14" s="133" t="s">
        <v>191</v>
      </c>
      <c r="B14" s="133"/>
      <c r="C14" s="133"/>
      <c r="D14" s="133" t="s">
        <v>188</v>
      </c>
      <c r="E14" s="133"/>
      <c r="F14" s="133"/>
    </row>
    <row r="15" spans="1:11" x14ac:dyDescent="0.3">
      <c r="A15" s="133" t="s">
        <v>192</v>
      </c>
      <c r="B15" s="133"/>
      <c r="C15" s="133"/>
      <c r="D15" s="133" t="s">
        <v>188</v>
      </c>
      <c r="E15" s="133"/>
      <c r="F15" s="133"/>
    </row>
    <row r="16" spans="1:11" x14ac:dyDescent="0.3">
      <c r="A16" s="133"/>
      <c r="B16" s="133"/>
      <c r="C16" s="133"/>
      <c r="D16" s="133"/>
      <c r="E16" s="133"/>
      <c r="F16" s="133"/>
    </row>
    <row r="17" spans="1:6" x14ac:dyDescent="0.3">
      <c r="A17" s="133" t="s">
        <v>180</v>
      </c>
      <c r="B17" s="133"/>
      <c r="C17" s="133"/>
      <c r="D17" s="133" t="s">
        <v>179</v>
      </c>
      <c r="E17" s="133"/>
      <c r="F17" s="133"/>
    </row>
    <row r="18" spans="1:6" x14ac:dyDescent="0.3">
      <c r="A18" s="133"/>
      <c r="B18" s="133"/>
      <c r="C18" s="133"/>
      <c r="D18" s="133"/>
      <c r="E18" s="133"/>
      <c r="F18" s="133"/>
    </row>
    <row r="19" spans="1:6" x14ac:dyDescent="0.3">
      <c r="A19" s="133" t="s">
        <v>5</v>
      </c>
      <c r="B19" s="133"/>
      <c r="C19" s="133"/>
      <c r="D19" s="133" t="s">
        <v>179</v>
      </c>
      <c r="E19" s="133"/>
      <c r="F19" s="133"/>
    </row>
    <row r="20" spans="1:6" x14ac:dyDescent="0.3">
      <c r="A20" s="133" t="s">
        <v>6</v>
      </c>
      <c r="B20" s="133"/>
      <c r="C20" s="133"/>
      <c r="D20" s="133" t="s">
        <v>179</v>
      </c>
      <c r="E20" s="133"/>
      <c r="F20" s="133"/>
    </row>
    <row r="21" spans="1:6" x14ac:dyDescent="0.3">
      <c r="A21" s="133" t="s">
        <v>7</v>
      </c>
      <c r="B21" s="133"/>
      <c r="C21" s="133"/>
      <c r="D21" s="133" t="s">
        <v>179</v>
      </c>
      <c r="E21" s="133"/>
      <c r="F21" s="133"/>
    </row>
    <row r="22" spans="1:6" x14ac:dyDescent="0.3">
      <c r="A22" s="133" t="s">
        <v>8</v>
      </c>
      <c r="B22" s="133"/>
      <c r="C22" s="133"/>
      <c r="D22" s="133" t="s">
        <v>179</v>
      </c>
      <c r="E22" s="133"/>
      <c r="F22" s="133"/>
    </row>
    <row r="23" spans="1:6" x14ac:dyDescent="0.3">
      <c r="A23" s="133"/>
      <c r="B23" s="133"/>
      <c r="C23" s="133"/>
      <c r="D23" s="133"/>
      <c r="E23" s="133"/>
      <c r="F23" s="133"/>
    </row>
    <row r="24" spans="1:6" x14ac:dyDescent="0.3">
      <c r="A24" s="133" t="s">
        <v>181</v>
      </c>
      <c r="B24" s="133"/>
      <c r="C24" s="133"/>
      <c r="D24" s="133" t="s">
        <v>179</v>
      </c>
      <c r="E24" s="133"/>
      <c r="F24" s="133"/>
    </row>
    <row r="25" spans="1:6" x14ac:dyDescent="0.3">
      <c r="A25" s="133" t="s">
        <v>182</v>
      </c>
      <c r="B25" s="133"/>
      <c r="C25" s="133"/>
      <c r="D25" s="133" t="s">
        <v>179</v>
      </c>
      <c r="E25" s="133"/>
      <c r="F25" s="133"/>
    </row>
    <row r="26" spans="1:6" x14ac:dyDescent="0.3">
      <c r="A26" s="133" t="s">
        <v>183</v>
      </c>
      <c r="B26" s="133"/>
      <c r="C26" s="133"/>
      <c r="D26" s="133" t="s">
        <v>179</v>
      </c>
      <c r="E26" s="133"/>
      <c r="F26" s="133"/>
    </row>
    <row r="27" spans="1:6" x14ac:dyDescent="0.3">
      <c r="A27" s="133" t="s">
        <v>184</v>
      </c>
      <c r="B27" s="133"/>
      <c r="C27" s="133"/>
      <c r="D27" s="133" t="s">
        <v>179</v>
      </c>
      <c r="E27" s="133"/>
      <c r="F27" s="133"/>
    </row>
    <row r="28" spans="1:6" ht="39" customHeight="1" x14ac:dyDescent="0.3">
      <c r="A28" s="239" t="s">
        <v>302</v>
      </c>
      <c r="B28" s="239"/>
      <c r="C28" s="239"/>
      <c r="D28" s="239"/>
      <c r="E28" s="239"/>
      <c r="F28" s="239"/>
    </row>
    <row r="31" spans="1:6" x14ac:dyDescent="0.3">
      <c r="A31" s="3" t="s">
        <v>238</v>
      </c>
    </row>
    <row r="32" spans="1:6" x14ac:dyDescent="0.3">
      <c r="A32" s="132" t="s">
        <v>227</v>
      </c>
      <c r="B32" s="133"/>
      <c r="C32" s="133"/>
      <c r="D32" s="133"/>
      <c r="E32" s="133"/>
      <c r="F32" s="133"/>
    </row>
    <row r="33" spans="1:6" x14ac:dyDescent="0.3">
      <c r="A33" s="236" t="s">
        <v>249</v>
      </c>
      <c r="B33" s="133"/>
      <c r="C33" s="135" t="s">
        <v>235</v>
      </c>
      <c r="D33" s="133" t="s">
        <v>243</v>
      </c>
      <c r="E33" s="133"/>
      <c r="F33" s="133"/>
    </row>
    <row r="34" spans="1:6" x14ac:dyDescent="0.3">
      <c r="A34" s="236"/>
      <c r="B34" s="133"/>
      <c r="C34" s="150"/>
      <c r="D34" s="133" t="s">
        <v>244</v>
      </c>
      <c r="E34" s="133"/>
      <c r="F34" s="133"/>
    </row>
    <row r="35" spans="1:6" x14ac:dyDescent="0.3">
      <c r="A35" s="236"/>
      <c r="B35" s="133"/>
      <c r="C35" s="150"/>
      <c r="D35" s="133" t="s">
        <v>245</v>
      </c>
      <c r="E35" s="133"/>
      <c r="F35" s="133"/>
    </row>
    <row r="36" spans="1:6" x14ac:dyDescent="0.3">
      <c r="A36" s="236"/>
      <c r="B36" s="133"/>
      <c r="C36" s="150"/>
      <c r="D36" s="133" t="s">
        <v>246</v>
      </c>
      <c r="E36" s="133"/>
      <c r="F36" s="133"/>
    </row>
    <row r="37" spans="1:6" x14ac:dyDescent="0.3">
      <c r="A37" s="236"/>
      <c r="B37" s="133"/>
      <c r="C37" s="150"/>
      <c r="D37" s="133" t="s">
        <v>247</v>
      </c>
      <c r="E37" s="133"/>
      <c r="F37" s="133"/>
    </row>
    <row r="38" spans="1:6" x14ac:dyDescent="0.3">
      <c r="A38" s="236"/>
      <c r="B38" s="133"/>
      <c r="C38" s="150"/>
      <c r="D38" s="133" t="s">
        <v>248</v>
      </c>
      <c r="E38" s="133"/>
      <c r="F38" s="133"/>
    </row>
    <row r="39" spans="1:6" x14ac:dyDescent="0.3">
      <c r="A39" s="151"/>
      <c r="B39" s="133"/>
      <c r="C39" s="238"/>
      <c r="D39" s="133"/>
      <c r="E39" s="133"/>
      <c r="F39" s="133"/>
    </row>
    <row r="40" spans="1:6" ht="14.4" customHeight="1" x14ac:dyDescent="0.3">
      <c r="A40" s="236" t="s">
        <v>315</v>
      </c>
      <c r="B40" s="133"/>
      <c r="C40" s="135"/>
      <c r="D40" s="133" t="s">
        <v>303</v>
      </c>
      <c r="E40" s="133"/>
      <c r="F40" s="133"/>
    </row>
    <row r="41" spans="1:6" x14ac:dyDescent="0.3">
      <c r="A41" s="236"/>
      <c r="B41" s="133"/>
      <c r="C41" s="150"/>
      <c r="D41" s="133" t="s">
        <v>304</v>
      </c>
      <c r="E41" s="133"/>
      <c r="F41" s="133"/>
    </row>
    <row r="42" spans="1:6" x14ac:dyDescent="0.3">
      <c r="A42" s="236"/>
      <c r="B42" s="133"/>
      <c r="C42" s="150"/>
      <c r="D42" s="133" t="s">
        <v>305</v>
      </c>
      <c r="E42" s="133"/>
      <c r="F42" s="133"/>
    </row>
    <row r="43" spans="1:6" x14ac:dyDescent="0.3">
      <c r="A43" s="236"/>
      <c r="B43" s="133"/>
      <c r="C43" s="150"/>
      <c r="D43" s="133" t="s">
        <v>306</v>
      </c>
      <c r="E43" s="133"/>
      <c r="F43" s="133"/>
    </row>
    <row r="44" spans="1:6" x14ac:dyDescent="0.3">
      <c r="A44" s="236"/>
      <c r="B44" s="133"/>
      <c r="C44" s="150"/>
      <c r="D44" s="133" t="s">
        <v>307</v>
      </c>
      <c r="E44" s="133"/>
      <c r="F44" s="133"/>
    </row>
    <row r="45" spans="1:6" x14ac:dyDescent="0.3">
      <c r="A45" s="236"/>
      <c r="B45" s="133"/>
      <c r="C45" s="150"/>
      <c r="D45" s="133" t="s">
        <v>308</v>
      </c>
      <c r="E45" s="133"/>
      <c r="F45" s="133"/>
    </row>
    <row r="46" spans="1:6" x14ac:dyDescent="0.3">
      <c r="A46" s="236"/>
      <c r="B46" s="133"/>
      <c r="C46" s="150"/>
      <c r="D46" s="133" t="s">
        <v>309</v>
      </c>
      <c r="E46" s="133"/>
      <c r="F46" s="133"/>
    </row>
    <row r="47" spans="1:6" x14ac:dyDescent="0.3">
      <c r="A47" s="236"/>
      <c r="B47" s="133"/>
      <c r="C47" s="150"/>
      <c r="D47" s="133" t="s">
        <v>310</v>
      </c>
      <c r="E47" s="133"/>
      <c r="F47" s="133"/>
    </row>
    <row r="48" spans="1:6" x14ac:dyDescent="0.3">
      <c r="A48" s="236"/>
      <c r="B48" s="133"/>
      <c r="C48" s="150"/>
      <c r="D48" s="133" t="s">
        <v>311</v>
      </c>
      <c r="E48" s="133"/>
      <c r="F48" s="133"/>
    </row>
    <row r="49" spans="1:11" x14ac:dyDescent="0.3">
      <c r="A49" s="236"/>
      <c r="B49" s="133"/>
      <c r="C49" s="150"/>
      <c r="D49" s="133" t="s">
        <v>312</v>
      </c>
      <c r="E49" s="133"/>
      <c r="F49" s="133"/>
    </row>
    <row r="50" spans="1:11" x14ac:dyDescent="0.3">
      <c r="A50" s="236"/>
      <c r="B50" s="133"/>
      <c r="C50" s="150"/>
      <c r="D50" s="133" t="s">
        <v>313</v>
      </c>
      <c r="E50" s="133"/>
      <c r="F50" s="133"/>
    </row>
    <row r="51" spans="1:11" x14ac:dyDescent="0.3">
      <c r="A51" s="236"/>
      <c r="B51" s="133"/>
      <c r="C51" s="150"/>
      <c r="D51" s="133" t="s">
        <v>314</v>
      </c>
      <c r="E51" s="133"/>
      <c r="F51" s="133"/>
    </row>
    <row r="53" spans="1:11" x14ac:dyDescent="0.3">
      <c r="A53" s="3" t="s">
        <v>250</v>
      </c>
    </row>
    <row r="54" spans="1:11" x14ac:dyDescent="0.3">
      <c r="A54" s="236" t="s">
        <v>301</v>
      </c>
      <c r="B54" s="133"/>
      <c r="C54" s="152" t="s">
        <v>235</v>
      </c>
      <c r="D54" s="133" t="s">
        <v>253</v>
      </c>
      <c r="E54" s="153" t="s">
        <v>254</v>
      </c>
      <c r="F54" s="133"/>
      <c r="G54" s="133"/>
      <c r="H54" s="133"/>
      <c r="I54" s="133"/>
      <c r="J54" s="133"/>
      <c r="K54" s="133"/>
    </row>
    <row r="55" spans="1:11" x14ac:dyDescent="0.3">
      <c r="A55" s="236"/>
      <c r="B55" s="133"/>
      <c r="C55" s="152"/>
      <c r="D55" s="133" t="s">
        <v>255</v>
      </c>
      <c r="E55" s="133" t="s">
        <v>251</v>
      </c>
      <c r="F55" s="133"/>
      <c r="G55" s="133"/>
      <c r="H55" s="133"/>
      <c r="I55" s="133"/>
      <c r="J55" s="133"/>
      <c r="K55" s="133"/>
    </row>
    <row r="56" spans="1:11" x14ac:dyDescent="0.3">
      <c r="A56" s="236"/>
      <c r="B56" s="133"/>
      <c r="C56" s="152"/>
      <c r="D56" s="133" t="s">
        <v>252</v>
      </c>
      <c r="E56" s="133" t="s">
        <v>256</v>
      </c>
      <c r="F56" s="133"/>
      <c r="G56" s="133"/>
      <c r="H56" s="133"/>
      <c r="I56" s="133"/>
      <c r="J56" s="133"/>
      <c r="K56" s="133"/>
    </row>
    <row r="57" spans="1:11" x14ac:dyDescent="0.3">
      <c r="A57" s="236"/>
      <c r="B57" s="133"/>
      <c r="C57" s="152"/>
      <c r="D57" s="133" t="s">
        <v>279</v>
      </c>
      <c r="E57" s="133" t="s">
        <v>257</v>
      </c>
      <c r="F57" s="133"/>
      <c r="G57" s="133"/>
      <c r="H57" s="133"/>
      <c r="I57" s="133"/>
      <c r="J57" s="133"/>
      <c r="K57" s="133"/>
    </row>
    <row r="58" spans="1:11" x14ac:dyDescent="0.3">
      <c r="A58" s="236"/>
      <c r="B58" s="133"/>
      <c r="C58" s="152"/>
      <c r="D58" s="133" t="s">
        <v>280</v>
      </c>
      <c r="E58" s="133" t="s">
        <v>258</v>
      </c>
      <c r="F58" s="133"/>
      <c r="G58" s="133"/>
      <c r="H58" s="133"/>
      <c r="I58" s="133"/>
      <c r="J58" s="133"/>
      <c r="K58" s="133"/>
    </row>
    <row r="59" spans="1:11" x14ac:dyDescent="0.3">
      <c r="A59" s="236"/>
      <c r="B59" s="133"/>
      <c r="C59" s="152" t="s">
        <v>235</v>
      </c>
      <c r="D59" s="133" t="s">
        <v>281</v>
      </c>
      <c r="E59" s="133" t="s">
        <v>259</v>
      </c>
      <c r="F59" s="133"/>
      <c r="G59" s="133"/>
      <c r="H59" s="133"/>
      <c r="I59" s="133"/>
      <c r="J59" s="133"/>
      <c r="K59" s="133"/>
    </row>
    <row r="60" spans="1:11" x14ac:dyDescent="0.3">
      <c r="A60" s="236"/>
      <c r="B60" s="133"/>
      <c r="C60" s="152"/>
      <c r="D60" s="133" t="s">
        <v>282</v>
      </c>
      <c r="E60" s="133" t="s">
        <v>260</v>
      </c>
      <c r="F60" s="133"/>
      <c r="G60" s="133"/>
      <c r="H60" s="133"/>
      <c r="I60" s="133"/>
      <c r="J60" s="133"/>
      <c r="K60" s="133"/>
    </row>
    <row r="61" spans="1:11" x14ac:dyDescent="0.3">
      <c r="A61" s="236"/>
      <c r="B61" s="133"/>
      <c r="C61" s="152"/>
      <c r="D61" s="133" t="s">
        <v>283</v>
      </c>
      <c r="E61" s="133" t="s">
        <v>261</v>
      </c>
      <c r="F61" s="133"/>
      <c r="G61" s="133"/>
      <c r="H61" s="133"/>
      <c r="I61" s="133"/>
      <c r="J61" s="133"/>
      <c r="K61" s="133"/>
    </row>
    <row r="62" spans="1:11" x14ac:dyDescent="0.3">
      <c r="A62" s="236"/>
      <c r="B62" s="133"/>
      <c r="C62" s="152"/>
      <c r="D62" s="133" t="s">
        <v>284</v>
      </c>
      <c r="E62" s="133" t="s">
        <v>262</v>
      </c>
      <c r="F62" s="133"/>
      <c r="G62" s="133"/>
      <c r="H62" s="133"/>
      <c r="I62" s="133"/>
      <c r="J62" s="133"/>
      <c r="K62" s="133"/>
    </row>
    <row r="63" spans="1:11" x14ac:dyDescent="0.3">
      <c r="A63" s="236"/>
      <c r="B63" s="133"/>
      <c r="C63" s="152"/>
      <c r="D63" s="133" t="s">
        <v>285</v>
      </c>
      <c r="E63" s="133" t="s">
        <v>263</v>
      </c>
      <c r="F63" s="133"/>
      <c r="G63" s="133"/>
      <c r="H63" s="133"/>
      <c r="I63" s="133"/>
      <c r="J63" s="133"/>
      <c r="K63" s="133"/>
    </row>
    <row r="64" spans="1:11" x14ac:dyDescent="0.3">
      <c r="A64" s="236"/>
      <c r="B64" s="133"/>
      <c r="C64" s="152"/>
      <c r="D64" s="133" t="s">
        <v>286</v>
      </c>
      <c r="E64" s="133" t="s">
        <v>264</v>
      </c>
      <c r="F64" s="133"/>
      <c r="G64" s="133"/>
      <c r="H64" s="133"/>
      <c r="I64" s="133"/>
      <c r="J64" s="133"/>
      <c r="K64" s="133"/>
    </row>
    <row r="65" spans="1:11" x14ac:dyDescent="0.3">
      <c r="A65" s="236"/>
      <c r="B65" s="133"/>
      <c r="C65" s="152"/>
      <c r="D65" s="133" t="s">
        <v>287</v>
      </c>
      <c r="E65" s="133" t="s">
        <v>265</v>
      </c>
      <c r="F65" s="133"/>
      <c r="G65" s="133"/>
      <c r="H65" s="133"/>
      <c r="I65" s="133"/>
      <c r="J65" s="133"/>
      <c r="K65" s="133"/>
    </row>
    <row r="66" spans="1:11" x14ac:dyDescent="0.3">
      <c r="A66" s="236"/>
      <c r="B66" s="133"/>
      <c r="C66" s="152"/>
      <c r="D66" s="133" t="s">
        <v>288</v>
      </c>
      <c r="E66" s="133" t="s">
        <v>266</v>
      </c>
      <c r="F66" s="133"/>
      <c r="G66" s="133"/>
      <c r="H66" s="133"/>
      <c r="I66" s="133"/>
      <c r="J66" s="133"/>
      <c r="K66" s="133"/>
    </row>
    <row r="67" spans="1:11" x14ac:dyDescent="0.3">
      <c r="A67" s="236"/>
      <c r="B67" s="133"/>
      <c r="C67" s="152"/>
      <c r="D67" s="133" t="s">
        <v>289</v>
      </c>
      <c r="E67" s="133" t="s">
        <v>267</v>
      </c>
      <c r="F67" s="133"/>
      <c r="G67" s="133"/>
      <c r="H67" s="133"/>
      <c r="I67" s="133"/>
      <c r="J67" s="133"/>
      <c r="K67" s="133"/>
    </row>
    <row r="68" spans="1:11" x14ac:dyDescent="0.3">
      <c r="A68" s="236"/>
      <c r="B68" s="133"/>
      <c r="C68" s="152"/>
      <c r="D68" s="133" t="s">
        <v>290</v>
      </c>
      <c r="E68" s="133" t="s">
        <v>268</v>
      </c>
      <c r="F68" s="133"/>
      <c r="G68" s="133"/>
      <c r="H68" s="133"/>
      <c r="I68" s="133"/>
      <c r="J68" s="133"/>
      <c r="K68" s="133"/>
    </row>
    <row r="69" spans="1:11" x14ac:dyDescent="0.3">
      <c r="A69" s="236"/>
      <c r="B69" s="133"/>
      <c r="C69" s="152"/>
      <c r="D69" s="133" t="s">
        <v>291</v>
      </c>
      <c r="E69" s="133" t="s">
        <v>269</v>
      </c>
      <c r="F69" s="133"/>
      <c r="G69" s="133"/>
      <c r="H69" s="133"/>
      <c r="I69" s="133"/>
      <c r="J69" s="133"/>
      <c r="K69" s="133"/>
    </row>
    <row r="70" spans="1:11" x14ac:dyDescent="0.3">
      <c r="A70" s="236"/>
      <c r="B70" s="133"/>
      <c r="C70" s="152" t="s">
        <v>235</v>
      </c>
      <c r="D70" s="133" t="s">
        <v>292</v>
      </c>
      <c r="E70" s="133" t="s">
        <v>270</v>
      </c>
      <c r="F70" s="133"/>
      <c r="G70" s="133"/>
      <c r="H70" s="133"/>
      <c r="I70" s="133"/>
      <c r="J70" s="133"/>
      <c r="K70" s="133"/>
    </row>
    <row r="71" spans="1:11" x14ac:dyDescent="0.3">
      <c r="A71" s="236"/>
      <c r="B71" s="133"/>
      <c r="C71" s="152"/>
      <c r="D71" s="133" t="s">
        <v>293</v>
      </c>
      <c r="E71" s="133" t="s">
        <v>271</v>
      </c>
      <c r="F71" s="133"/>
      <c r="G71" s="133"/>
      <c r="H71" s="133"/>
      <c r="I71" s="133"/>
      <c r="J71" s="133"/>
      <c r="K71" s="133"/>
    </row>
    <row r="72" spans="1:11" x14ac:dyDescent="0.3">
      <c r="A72" s="236"/>
      <c r="B72" s="133"/>
      <c r="C72" s="152"/>
      <c r="D72" s="133" t="s">
        <v>294</v>
      </c>
      <c r="E72" s="133" t="s">
        <v>272</v>
      </c>
      <c r="F72" s="133"/>
      <c r="G72" s="133"/>
      <c r="H72" s="133"/>
      <c r="I72" s="133"/>
      <c r="J72" s="133"/>
      <c r="K72" s="133"/>
    </row>
    <row r="73" spans="1:11" x14ac:dyDescent="0.3">
      <c r="A73" s="236"/>
      <c r="B73" s="133"/>
      <c r="C73" s="152"/>
      <c r="D73" s="133" t="s">
        <v>295</v>
      </c>
      <c r="E73" s="133" t="s">
        <v>273</v>
      </c>
      <c r="F73" s="133"/>
      <c r="G73" s="133"/>
      <c r="H73" s="133"/>
      <c r="I73" s="133"/>
      <c r="J73" s="133"/>
      <c r="K73" s="133"/>
    </row>
    <row r="74" spans="1:11" x14ac:dyDescent="0.3">
      <c r="A74" s="236"/>
      <c r="B74" s="133"/>
      <c r="C74" s="152" t="s">
        <v>235</v>
      </c>
      <c r="D74" s="133" t="s">
        <v>296</v>
      </c>
      <c r="E74" s="133" t="s">
        <v>274</v>
      </c>
      <c r="F74" s="133"/>
      <c r="G74" s="133"/>
      <c r="H74" s="133"/>
      <c r="I74" s="133"/>
      <c r="J74" s="133"/>
      <c r="K74" s="133"/>
    </row>
    <row r="75" spans="1:11" x14ac:dyDescent="0.3">
      <c r="A75" s="236"/>
      <c r="B75" s="133"/>
      <c r="C75" s="152"/>
      <c r="D75" s="133" t="s">
        <v>297</v>
      </c>
      <c r="E75" s="133" t="s">
        <v>275</v>
      </c>
      <c r="F75" s="133"/>
      <c r="G75" s="133"/>
      <c r="H75" s="133"/>
      <c r="I75" s="133"/>
      <c r="J75" s="133"/>
      <c r="K75" s="133"/>
    </row>
    <row r="76" spans="1:11" x14ac:dyDescent="0.3">
      <c r="A76" s="236"/>
      <c r="B76" s="133"/>
      <c r="C76" s="152"/>
      <c r="D76" s="133" t="s">
        <v>298</v>
      </c>
      <c r="E76" s="133" t="s">
        <v>276</v>
      </c>
      <c r="F76" s="133"/>
      <c r="G76" s="133"/>
      <c r="H76" s="133"/>
      <c r="I76" s="133"/>
      <c r="J76" s="133"/>
      <c r="K76" s="133"/>
    </row>
    <row r="77" spans="1:11" x14ac:dyDescent="0.3">
      <c r="A77" s="236"/>
      <c r="B77" s="133"/>
      <c r="C77" s="152"/>
      <c r="D77" s="133" t="s">
        <v>299</v>
      </c>
      <c r="E77" s="133" t="s">
        <v>277</v>
      </c>
      <c r="F77" s="133"/>
      <c r="G77" s="133"/>
      <c r="H77" s="133"/>
      <c r="I77" s="133"/>
      <c r="J77" s="133"/>
      <c r="K77" s="133"/>
    </row>
    <row r="78" spans="1:11" x14ac:dyDescent="0.3">
      <c r="A78" s="236"/>
      <c r="B78" s="133"/>
      <c r="C78" s="152"/>
      <c r="D78" s="133" t="s">
        <v>300</v>
      </c>
      <c r="E78" s="133" t="s">
        <v>278</v>
      </c>
      <c r="F78" s="133"/>
      <c r="G78" s="133"/>
      <c r="H78" s="133"/>
      <c r="I78" s="133"/>
      <c r="J78" s="133"/>
      <c r="K78" s="133"/>
    </row>
    <row r="79" spans="1:11" ht="14.4" customHeight="1" x14ac:dyDescent="0.3">
      <c r="A79" s="236" t="s">
        <v>316</v>
      </c>
      <c r="B79" s="133"/>
      <c r="C79" s="152" t="s">
        <v>235</v>
      </c>
      <c r="D79" s="133" t="s">
        <v>317</v>
      </c>
    </row>
    <row r="80" spans="1:11" x14ac:dyDescent="0.3">
      <c r="A80" s="236"/>
      <c r="B80" s="133"/>
      <c r="C80" s="152"/>
      <c r="D80" s="133" t="s">
        <v>318</v>
      </c>
    </row>
    <row r="81" spans="1:9" x14ac:dyDescent="0.3">
      <c r="A81" s="236"/>
      <c r="B81" s="133"/>
      <c r="C81" s="152"/>
      <c r="D81" s="133" t="s">
        <v>319</v>
      </c>
    </row>
    <row r="82" spans="1:9" x14ac:dyDescent="0.3">
      <c r="A82" s="236"/>
      <c r="B82" s="133"/>
      <c r="C82" s="152"/>
      <c r="D82" s="133" t="s">
        <v>320</v>
      </c>
    </row>
    <row r="83" spans="1:9" x14ac:dyDescent="0.3">
      <c r="A83" s="236"/>
      <c r="B83" s="133"/>
      <c r="C83" s="152"/>
      <c r="D83" s="133" t="s">
        <v>321</v>
      </c>
    </row>
    <row r="84" spans="1:9" x14ac:dyDescent="0.3">
      <c r="A84" s="236"/>
      <c r="B84" s="133"/>
      <c r="C84" s="152"/>
      <c r="D84" s="133" t="s">
        <v>322</v>
      </c>
    </row>
    <row r="85" spans="1:9" x14ac:dyDescent="0.3">
      <c r="A85" s="236"/>
      <c r="B85" s="133"/>
      <c r="C85" s="152"/>
      <c r="D85" s="133" t="s">
        <v>323</v>
      </c>
    </row>
    <row r="86" spans="1:9" ht="81.599999999999994" customHeight="1" x14ac:dyDescent="0.3">
      <c r="A86" s="239" t="s">
        <v>324</v>
      </c>
      <c r="B86" s="239"/>
      <c r="C86" s="239"/>
      <c r="D86" s="239"/>
    </row>
    <row r="88" spans="1:9" x14ac:dyDescent="0.3">
      <c r="A88" s="3" t="s">
        <v>325</v>
      </c>
    </row>
    <row r="89" spans="1:9" ht="14.4" customHeight="1" x14ac:dyDescent="0.3">
      <c r="A89" s="240" t="s">
        <v>337</v>
      </c>
      <c r="B89" s="133"/>
      <c r="C89" s="152"/>
      <c r="D89" s="133" t="s">
        <v>326</v>
      </c>
      <c r="E89" s="133"/>
      <c r="F89" s="133" t="s">
        <v>333</v>
      </c>
      <c r="G89" s="133"/>
      <c r="H89" s="133"/>
      <c r="I89" s="133"/>
    </row>
    <row r="90" spans="1:9" x14ac:dyDescent="0.3">
      <c r="A90" s="240"/>
      <c r="B90" s="133"/>
      <c r="C90" s="152"/>
      <c r="D90" s="133" t="s">
        <v>327</v>
      </c>
      <c r="E90" s="133"/>
      <c r="F90" s="133" t="s">
        <v>333</v>
      </c>
      <c r="G90" s="133"/>
      <c r="H90" s="133"/>
      <c r="I90" s="133"/>
    </row>
    <row r="91" spans="1:9" x14ac:dyDescent="0.3">
      <c r="A91" s="240"/>
      <c r="B91" s="133"/>
      <c r="C91" s="152"/>
      <c r="D91" s="133" t="s">
        <v>328</v>
      </c>
      <c r="E91" s="133"/>
      <c r="F91" s="133" t="s">
        <v>333</v>
      </c>
      <c r="G91" s="133"/>
      <c r="H91" s="133"/>
      <c r="I91" s="133"/>
    </row>
    <row r="92" spans="1:9" x14ac:dyDescent="0.3">
      <c r="A92" s="240"/>
      <c r="B92" s="133"/>
      <c r="C92" s="152"/>
      <c r="D92" s="133" t="s">
        <v>329</v>
      </c>
      <c r="E92" s="133"/>
      <c r="F92" s="133" t="s">
        <v>333</v>
      </c>
      <c r="G92" s="133"/>
      <c r="H92" s="133"/>
      <c r="I92" s="133"/>
    </row>
    <row r="93" spans="1:9" x14ac:dyDescent="0.3">
      <c r="A93" s="240"/>
      <c r="B93" s="133"/>
      <c r="C93" s="152"/>
      <c r="D93" s="133" t="s">
        <v>330</v>
      </c>
      <c r="E93" s="133"/>
      <c r="F93" s="133" t="s">
        <v>334</v>
      </c>
      <c r="G93" s="133"/>
      <c r="H93" s="133"/>
      <c r="I93" s="133"/>
    </row>
    <row r="94" spans="1:9" x14ac:dyDescent="0.3">
      <c r="A94" s="240"/>
      <c r="B94" s="133"/>
      <c r="C94" s="152"/>
      <c r="D94" s="133" t="s">
        <v>331</v>
      </c>
      <c r="E94" s="133"/>
      <c r="F94" s="133" t="s">
        <v>335</v>
      </c>
      <c r="G94" s="133"/>
      <c r="H94" s="133"/>
      <c r="I94" s="133"/>
    </row>
    <row r="95" spans="1:9" x14ac:dyDescent="0.3">
      <c r="A95" s="240"/>
      <c r="B95" s="133"/>
      <c r="C95" s="152"/>
      <c r="D95" s="133" t="s">
        <v>332</v>
      </c>
      <c r="E95" s="133"/>
      <c r="F95" s="133" t="s">
        <v>336</v>
      </c>
      <c r="G95" s="133"/>
      <c r="H95" s="133"/>
      <c r="I95" s="133"/>
    </row>
    <row r="96" spans="1:9" ht="45.6" customHeight="1" x14ac:dyDescent="0.3">
      <c r="A96" s="239" t="s">
        <v>338</v>
      </c>
      <c r="B96" s="239"/>
      <c r="C96" s="239"/>
      <c r="D96" s="239"/>
      <c r="E96" s="133"/>
      <c r="F96" s="133"/>
      <c r="G96" s="133"/>
      <c r="H96" s="133"/>
      <c r="I96" s="133"/>
    </row>
    <row r="98" spans="1:11" ht="14.4" customHeight="1" x14ac:dyDescent="0.3">
      <c r="A98" s="3" t="s">
        <v>236</v>
      </c>
    </row>
    <row r="99" spans="1:11" x14ac:dyDescent="0.3">
      <c r="A99" s="132" t="s">
        <v>227</v>
      </c>
      <c r="B99" s="133"/>
      <c r="C99" s="133"/>
      <c r="D99" s="133"/>
      <c r="E99" s="133"/>
      <c r="F99" s="133"/>
      <c r="G99" s="133"/>
      <c r="H99" s="133"/>
      <c r="I99" s="133"/>
      <c r="J99" s="133"/>
      <c r="K99" s="133"/>
    </row>
    <row r="100" spans="1:11" x14ac:dyDescent="0.3">
      <c r="A100" s="235" t="s">
        <v>228</v>
      </c>
      <c r="B100" s="133"/>
      <c r="C100" s="135" t="s">
        <v>235</v>
      </c>
      <c r="D100" s="133" t="s">
        <v>229</v>
      </c>
      <c r="E100" s="133"/>
      <c r="F100" s="133"/>
      <c r="G100" s="133"/>
      <c r="H100" s="133"/>
      <c r="I100" s="133"/>
      <c r="J100" s="133"/>
      <c r="K100" s="133"/>
    </row>
    <row r="101" spans="1:11" x14ac:dyDescent="0.3">
      <c r="A101" s="235"/>
      <c r="B101" s="133"/>
      <c r="C101" s="135"/>
      <c r="D101" s="133" t="s">
        <v>230</v>
      </c>
      <c r="E101" s="133"/>
      <c r="F101" s="133"/>
      <c r="G101" s="133"/>
      <c r="H101" s="133"/>
      <c r="I101" s="133"/>
      <c r="J101" s="133"/>
      <c r="K101" s="133"/>
    </row>
    <row r="102" spans="1:11" x14ac:dyDescent="0.3">
      <c r="A102" s="235"/>
      <c r="B102" s="133"/>
      <c r="C102" s="135" t="s">
        <v>235</v>
      </c>
      <c r="D102" s="133" t="s">
        <v>231</v>
      </c>
      <c r="E102" s="133"/>
      <c r="F102" s="133"/>
      <c r="G102" s="133"/>
      <c r="H102" s="133"/>
      <c r="I102" s="133"/>
      <c r="J102" s="133"/>
      <c r="K102" s="133"/>
    </row>
    <row r="103" spans="1:11" x14ac:dyDescent="0.3">
      <c r="A103" s="235"/>
      <c r="B103" s="133"/>
      <c r="C103" s="135"/>
      <c r="D103" s="133" t="s">
        <v>232</v>
      </c>
      <c r="E103" s="133"/>
      <c r="F103" s="133"/>
      <c r="G103" s="133"/>
      <c r="H103" s="133"/>
      <c r="I103" s="133"/>
      <c r="J103" s="133"/>
      <c r="K103" s="133"/>
    </row>
    <row r="104" spans="1:11" x14ac:dyDescent="0.3">
      <c r="A104" s="235"/>
      <c r="B104" s="133"/>
      <c r="C104" s="135"/>
      <c r="D104" s="133" t="s">
        <v>233</v>
      </c>
      <c r="E104" s="133"/>
      <c r="F104" s="133"/>
      <c r="G104" s="133"/>
      <c r="H104" s="133"/>
      <c r="I104" s="133"/>
      <c r="J104" s="133"/>
      <c r="K104" s="133"/>
    </row>
    <row r="105" spans="1:11" x14ac:dyDescent="0.3">
      <c r="A105" s="235"/>
      <c r="B105" s="133"/>
      <c r="C105" s="135"/>
      <c r="D105" s="133" t="s">
        <v>234</v>
      </c>
      <c r="E105" s="133"/>
      <c r="F105" s="133"/>
      <c r="G105" s="133"/>
      <c r="H105" s="133"/>
      <c r="I105" s="133"/>
      <c r="J105" s="133"/>
      <c r="K105" s="133"/>
    </row>
    <row r="119" spans="1:4" x14ac:dyDescent="0.3">
      <c r="A119" s="3" t="s">
        <v>197</v>
      </c>
    </row>
    <row r="120" spans="1:4" x14ac:dyDescent="0.3">
      <c r="A120" t="s">
        <v>198</v>
      </c>
      <c r="D120" t="s">
        <v>199</v>
      </c>
    </row>
    <row r="121" spans="1:4" x14ac:dyDescent="0.3">
      <c r="A121" t="s">
        <v>200</v>
      </c>
      <c r="D121" t="s">
        <v>202</v>
      </c>
    </row>
    <row r="122" spans="1:4" x14ac:dyDescent="0.3">
      <c r="A122" t="s">
        <v>201</v>
      </c>
      <c r="D122" t="s">
        <v>203</v>
      </c>
    </row>
  </sheetData>
  <mergeCells count="10">
    <mergeCell ref="A1:K1"/>
    <mergeCell ref="A100:A105"/>
    <mergeCell ref="A33:A38"/>
    <mergeCell ref="A54:A78"/>
    <mergeCell ref="A28:F28"/>
    <mergeCell ref="A40:A51"/>
    <mergeCell ref="A86:D86"/>
    <mergeCell ref="A79:A85"/>
    <mergeCell ref="A89:A95"/>
    <mergeCell ref="A96:D96"/>
  </mergeCells>
  <phoneticPr fontId="16" type="noConversion"/>
  <dataValidations disablePrompts="1" count="1">
    <dataValidation type="list" allowBlank="1" showInputMessage="1" showErrorMessage="1" sqref="G7" xr:uid="{2335DCA2-C94A-44E1-B362-884A2FED1EBD}">
      <formula1>"N, N+1, N+2"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19BE-09E4-4CB9-9B21-081E78A657DD}">
  <dimension ref="A1:K27"/>
  <sheetViews>
    <sheetView workbookViewId="0">
      <selection activeCell="A14" sqref="A14"/>
    </sheetView>
  </sheetViews>
  <sheetFormatPr defaultRowHeight="14.4" x14ac:dyDescent="0.3"/>
  <cols>
    <col min="1" max="1" width="34" bestFit="1" customWidth="1"/>
  </cols>
  <sheetData>
    <row r="1" spans="1:11" x14ac:dyDescent="0.3">
      <c r="A1" s="234" t="s">
        <v>204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62.4" customHeight="1" x14ac:dyDescent="0.3">
      <c r="A2" s="237" t="s">
        <v>205</v>
      </c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4" spans="1:11" x14ac:dyDescent="0.3">
      <c r="A4" t="s">
        <v>206</v>
      </c>
      <c r="D4" t="s">
        <v>208</v>
      </c>
    </row>
    <row r="5" spans="1:11" x14ac:dyDescent="0.3">
      <c r="A5" t="s">
        <v>207</v>
      </c>
      <c r="D5" t="s">
        <v>209</v>
      </c>
    </row>
    <row r="6" spans="1:11" x14ac:dyDescent="0.3">
      <c r="A6" t="s">
        <v>210</v>
      </c>
      <c r="D6" t="s">
        <v>189</v>
      </c>
    </row>
    <row r="7" spans="1:11" x14ac:dyDescent="0.3">
      <c r="A7" t="s">
        <v>211</v>
      </c>
      <c r="D7" t="s">
        <v>189</v>
      </c>
    </row>
    <row r="8" spans="1:11" x14ac:dyDescent="0.3">
      <c r="A8" t="s">
        <v>122</v>
      </c>
      <c r="D8" t="s">
        <v>212</v>
      </c>
    </row>
    <row r="9" spans="1:11" x14ac:dyDescent="0.3">
      <c r="A9" t="s">
        <v>213</v>
      </c>
      <c r="D9" t="s">
        <v>189</v>
      </c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1150-F4F2-45BE-B0D3-EF78D7F16C57}">
  <dimension ref="A1:K27"/>
  <sheetViews>
    <sheetView workbookViewId="0">
      <selection activeCell="D4" sqref="D4"/>
    </sheetView>
  </sheetViews>
  <sheetFormatPr defaultRowHeight="14.4" x14ac:dyDescent="0.3"/>
  <cols>
    <col min="1" max="1" width="34" bestFit="1" customWidth="1"/>
  </cols>
  <sheetData>
    <row r="1" spans="1:11" x14ac:dyDescent="0.3">
      <c r="A1" s="234" t="s">
        <v>214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62.4" customHeight="1" x14ac:dyDescent="0.3">
      <c r="A2" s="237" t="s">
        <v>215</v>
      </c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4" spans="1:11" x14ac:dyDescent="0.3">
      <c r="A4" t="s">
        <v>216</v>
      </c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8911-E16F-4744-AE53-0447820D0114}">
  <dimension ref="A1:K27"/>
  <sheetViews>
    <sheetView workbookViewId="0">
      <selection sqref="A1:K1"/>
    </sheetView>
  </sheetViews>
  <sheetFormatPr defaultRowHeight="14.4" x14ac:dyDescent="0.3"/>
  <cols>
    <col min="1" max="1" width="34" bestFit="1" customWidth="1"/>
  </cols>
  <sheetData>
    <row r="1" spans="1:11" x14ac:dyDescent="0.3">
      <c r="A1" s="234" t="s">
        <v>217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62.4" customHeight="1" x14ac:dyDescent="0.3">
      <c r="A2" s="237" t="s">
        <v>218</v>
      </c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C690-716E-43BD-9D2B-0D8CAEABF388}">
  <dimension ref="A1:K27"/>
  <sheetViews>
    <sheetView workbookViewId="0">
      <selection activeCell="A2" sqref="A2:G2"/>
    </sheetView>
  </sheetViews>
  <sheetFormatPr defaultRowHeight="14.4" x14ac:dyDescent="0.3"/>
  <cols>
    <col min="1" max="1" width="34" bestFit="1" customWidth="1"/>
    <col min="7" max="7" width="22.6640625" customWidth="1"/>
  </cols>
  <sheetData>
    <row r="1" spans="1:11" x14ac:dyDescent="0.3">
      <c r="A1" s="234" t="s">
        <v>220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73.8" customHeight="1" x14ac:dyDescent="0.3">
      <c r="A2" s="237" t="s">
        <v>219</v>
      </c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9DB4-C654-472F-AB9F-73A47FB5477E}">
  <dimension ref="A1:K27"/>
  <sheetViews>
    <sheetView workbookViewId="0">
      <selection activeCell="A9" sqref="A9"/>
    </sheetView>
  </sheetViews>
  <sheetFormatPr defaultRowHeight="14.4" x14ac:dyDescent="0.3"/>
  <cols>
    <col min="1" max="1" width="34" bestFit="1" customWidth="1"/>
    <col min="7" max="7" width="22.6640625" customWidth="1"/>
  </cols>
  <sheetData>
    <row r="1" spans="1:11" x14ac:dyDescent="0.3">
      <c r="A1" s="234" t="s">
        <v>221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73.8" customHeight="1" x14ac:dyDescent="0.3">
      <c r="A2" s="237"/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C283-814C-4351-A46A-19C5545968FF}">
  <dimension ref="A1:K27"/>
  <sheetViews>
    <sheetView workbookViewId="0">
      <selection activeCell="G3" sqref="G3"/>
    </sheetView>
  </sheetViews>
  <sheetFormatPr defaultRowHeight="14.4" x14ac:dyDescent="0.3"/>
  <cols>
    <col min="1" max="1" width="34" bestFit="1" customWidth="1"/>
    <col min="7" max="7" width="22.6640625" customWidth="1"/>
  </cols>
  <sheetData>
    <row r="1" spans="1:11" x14ac:dyDescent="0.3">
      <c r="A1" s="234" t="s">
        <v>222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73.8" customHeight="1" x14ac:dyDescent="0.3">
      <c r="A2" s="237" t="s">
        <v>223</v>
      </c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91D1-D7EB-46EE-B385-CCA80C53F173}">
  <dimension ref="A1:K27"/>
  <sheetViews>
    <sheetView workbookViewId="0">
      <selection activeCell="G8" sqref="G8"/>
    </sheetView>
  </sheetViews>
  <sheetFormatPr defaultRowHeight="14.4" x14ac:dyDescent="0.3"/>
  <cols>
    <col min="1" max="1" width="34" bestFit="1" customWidth="1"/>
    <col min="7" max="7" width="32" customWidth="1"/>
  </cols>
  <sheetData>
    <row r="1" spans="1:11" x14ac:dyDescent="0.3">
      <c r="A1" s="234" t="s">
        <v>225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73.8" customHeight="1" x14ac:dyDescent="0.3">
      <c r="A2" s="237"/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FA1B-3190-4FDF-9FEC-90DA321BDA2A}">
  <dimension ref="A1:K27"/>
  <sheetViews>
    <sheetView workbookViewId="0">
      <selection activeCell="F12" sqref="F12"/>
    </sheetView>
  </sheetViews>
  <sheetFormatPr defaultRowHeight="14.4" x14ac:dyDescent="0.3"/>
  <cols>
    <col min="1" max="1" width="34" bestFit="1" customWidth="1"/>
    <col min="7" max="7" width="22.6640625" customWidth="1"/>
  </cols>
  <sheetData>
    <row r="1" spans="1:11" x14ac:dyDescent="0.3">
      <c r="A1" s="234" t="s">
        <v>224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1" ht="73.8" customHeight="1" x14ac:dyDescent="0.3">
      <c r="A2" s="237"/>
      <c r="B2" s="237"/>
      <c r="C2" s="237"/>
      <c r="D2" s="237"/>
      <c r="E2" s="237"/>
      <c r="F2" s="237"/>
      <c r="G2" s="237"/>
    </row>
    <row r="3" spans="1:11" x14ac:dyDescent="0.3">
      <c r="A3" s="3" t="s">
        <v>174</v>
      </c>
      <c r="D3" s="3" t="s">
        <v>177</v>
      </c>
      <c r="G3" s="3"/>
    </row>
    <row r="27" spans="1:1" x14ac:dyDescent="0.3">
      <c r="A27" s="3"/>
    </row>
  </sheetData>
  <mergeCells count="2">
    <mergeCell ref="A1:K1"/>
    <mergeCell ref="A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</vt:i4>
      </vt:variant>
    </vt:vector>
  </HeadingPairs>
  <TitlesOfParts>
    <vt:vector size="13" baseType="lpstr">
      <vt:lpstr>CARGA ESTIMADA 1</vt:lpstr>
      <vt:lpstr>FD</vt:lpstr>
      <vt:lpstr>AUX-CARGA ESTIMADA</vt:lpstr>
      <vt:lpstr>PROG1</vt:lpstr>
      <vt:lpstr>PROG2</vt:lpstr>
      <vt:lpstr>PROG3</vt:lpstr>
      <vt:lpstr>PROG4</vt:lpstr>
      <vt:lpstr>PROG5</vt:lpstr>
      <vt:lpstr>PROG6</vt:lpstr>
      <vt:lpstr>PROG7</vt:lpstr>
      <vt:lpstr>PROG8</vt:lpstr>
      <vt:lpstr>PROG9</vt:lpstr>
      <vt:lpstr>'CARGA ESTIMADA 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ESI Energia</dc:creator>
  <cp:lastModifiedBy>Matheus ESI Energia</cp:lastModifiedBy>
  <dcterms:created xsi:type="dcterms:W3CDTF">2024-04-10T16:36:54Z</dcterms:created>
  <dcterms:modified xsi:type="dcterms:W3CDTF">2025-10-03T19:43:32Z</dcterms:modified>
</cp:coreProperties>
</file>