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48087fecbb8190/Área de Trabalho/1-HVAC/8-ATIVIDADES ESTÁGIO/"/>
    </mc:Choice>
  </mc:AlternateContent>
  <xr:revisionPtr revIDLastSave="33" documentId="8_{A313A607-D4D8-4CB4-B36B-8C05A962BE65}" xr6:coauthVersionLast="47" xr6:coauthVersionMax="47" xr10:uidLastSave="{3E71669D-7F5B-434D-870B-E822B3F00CAA}"/>
  <bookViews>
    <workbookView xWindow="-108" yWindow="-108" windowWidth="23256" windowHeight="12456" xr2:uid="{2434ED10-FD34-4845-9CBF-632C4D027570}"/>
  </bookViews>
  <sheets>
    <sheet name="AUX5-CUSTOS" sheetId="2" r:id="rId1"/>
    <sheet name="INTERPOLAÇÃO" sheetId="3" r:id="rId2"/>
    <sheet name="TRANSPORTADORAS" sheetId="4" r:id="rId3"/>
  </sheets>
  <externalReferences>
    <externalReference r:id="rId4"/>
  </externalReferences>
  <definedNames>
    <definedName name="Categoria">[1]Auxiliar!$K$2:$S$2</definedName>
    <definedName name="Categoria_Ambiente">[1]Auxiliar!$K$2:$S$12</definedName>
    <definedName name="Tipos_Ambiente">OFFSET(Categoria_Ambiente,1,MATCH('[1]Carga Térmica'!XFD1,Categoria,0)-1,INDEX([1]Auxiliar!$K$14:$S$14,1,MATCH('[1]Carga Térmica'!XFD1,Categoria,0)),1)</definedName>
    <definedName name="Tipos_Ambiente2">OFFSET(Categoria_Ambiente,1,MATCH('[1]Carga Térmica'!XFD1,Categoria,0)-1,INDEX([1]Auxiliar!$K$14:$S$14,1,MATCH('[1]Carga Térmica'!XFD1,Categoria,0)),1)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O3" i="2" s="1"/>
  <c r="C5" i="2"/>
  <c r="O5" i="2" s="1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527" i="2"/>
  <c r="E127" i="3"/>
  <c r="E136" i="3"/>
  <c r="E143" i="3"/>
  <c r="E146" i="3"/>
  <c r="E155" i="3"/>
  <c r="E158" i="3"/>
  <c r="E164" i="3"/>
  <c r="E165" i="3"/>
  <c r="E167" i="3"/>
  <c r="E173" i="3"/>
  <c r="E174" i="3"/>
  <c r="D175" i="3"/>
  <c r="E175" i="3" s="1"/>
  <c r="D174" i="3"/>
  <c r="D173" i="3"/>
  <c r="D172" i="3"/>
  <c r="E172" i="3" s="1"/>
  <c r="D171" i="3"/>
  <c r="E171" i="3" s="1"/>
  <c r="D170" i="3"/>
  <c r="E170" i="3" s="1"/>
  <c r="D168" i="3"/>
  <c r="E168" i="3" s="1"/>
  <c r="D167" i="3"/>
  <c r="D166" i="3"/>
  <c r="E166" i="3" s="1"/>
  <c r="D165" i="3"/>
  <c r="D164" i="3"/>
  <c r="D163" i="3"/>
  <c r="E163" i="3" s="1"/>
  <c r="D162" i="3"/>
  <c r="E162" i="3" s="1"/>
  <c r="D160" i="3"/>
  <c r="E160" i="3" s="1"/>
  <c r="D159" i="3"/>
  <c r="E159" i="3" s="1"/>
  <c r="D158" i="3"/>
  <c r="D157" i="3"/>
  <c r="E157" i="3" s="1"/>
  <c r="D156" i="3"/>
  <c r="E156" i="3" s="1"/>
  <c r="D155" i="3"/>
  <c r="D154" i="3"/>
  <c r="E154" i="3" s="1"/>
  <c r="D152" i="3"/>
  <c r="E152" i="3" s="1"/>
  <c r="D151" i="3"/>
  <c r="E151" i="3" s="1"/>
  <c r="D150" i="3"/>
  <c r="E150" i="3" s="1"/>
  <c r="D149" i="3"/>
  <c r="E149" i="3" s="1"/>
  <c r="D148" i="3"/>
  <c r="E148" i="3" s="1"/>
  <c r="D147" i="3"/>
  <c r="E147" i="3" s="1"/>
  <c r="D146" i="3"/>
  <c r="D145" i="3"/>
  <c r="E145" i="3" s="1"/>
  <c r="D142" i="3"/>
  <c r="E142" i="3" s="1"/>
  <c r="D140" i="3"/>
  <c r="E140" i="3" s="1"/>
  <c r="D141" i="3"/>
  <c r="E141" i="3" s="1"/>
  <c r="D139" i="3"/>
  <c r="E139" i="3" s="1"/>
  <c r="D138" i="3"/>
  <c r="E138" i="3" s="1"/>
  <c r="D136" i="3"/>
  <c r="D135" i="3"/>
  <c r="E135" i="3" s="1"/>
  <c r="D134" i="3"/>
  <c r="E134" i="3" s="1"/>
  <c r="D133" i="3"/>
  <c r="E133" i="3" s="1"/>
  <c r="D132" i="3"/>
  <c r="E132" i="3" s="1"/>
  <c r="D131" i="3"/>
  <c r="E131" i="3" s="1"/>
  <c r="D129" i="3"/>
  <c r="E129" i="3" s="1"/>
  <c r="D128" i="3"/>
  <c r="E128" i="3" s="1"/>
  <c r="D127" i="3"/>
  <c r="D126" i="3"/>
  <c r="E126" i="3" s="1"/>
  <c r="D125" i="3"/>
  <c r="E125" i="3" s="1"/>
  <c r="E116" i="3"/>
  <c r="E117" i="3"/>
  <c r="E123" i="3"/>
  <c r="E105" i="3"/>
  <c r="D123" i="3"/>
  <c r="D122" i="3"/>
  <c r="E122" i="3" s="1"/>
  <c r="D121" i="3"/>
  <c r="E121" i="3" s="1"/>
  <c r="D120" i="3"/>
  <c r="D119" i="3"/>
  <c r="E119" i="3" s="1"/>
  <c r="D117" i="3"/>
  <c r="D116" i="3"/>
  <c r="D115" i="3"/>
  <c r="E115" i="3" s="1"/>
  <c r="D114" i="3"/>
  <c r="E114" i="3" s="1"/>
  <c r="D112" i="3"/>
  <c r="E112" i="3" s="1"/>
  <c r="D111" i="3"/>
  <c r="D110" i="3"/>
  <c r="E110" i="3" s="1"/>
  <c r="D108" i="3"/>
  <c r="E108" i="3" s="1"/>
  <c r="D107" i="3"/>
  <c r="E107" i="3" s="1"/>
  <c r="D105" i="3"/>
  <c r="D60" i="3"/>
  <c r="S241" i="2"/>
  <c r="S242" i="2"/>
  <c r="S243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D31" i="3"/>
  <c r="E31" i="3" s="1"/>
  <c r="D25" i="3"/>
  <c r="D24" i="3"/>
  <c r="E24" i="3" s="1"/>
  <c r="D77" i="3"/>
  <c r="E77" i="3" s="1"/>
  <c r="D84" i="3"/>
  <c r="D102" i="3"/>
  <c r="E102" i="3" s="1"/>
  <c r="D101" i="3"/>
  <c r="E101" i="3" s="1"/>
  <c r="D100" i="3"/>
  <c r="E100" i="3" s="1"/>
  <c r="D99" i="3"/>
  <c r="E99" i="3" s="1"/>
  <c r="D98" i="3"/>
  <c r="E98" i="3" s="1"/>
  <c r="D97" i="3"/>
  <c r="E97" i="3" s="1"/>
  <c r="D95" i="3"/>
  <c r="E95" i="3" s="1"/>
  <c r="D94" i="3"/>
  <c r="E94" i="3" s="1"/>
  <c r="D93" i="3"/>
  <c r="E93" i="3" s="1"/>
  <c r="D92" i="3"/>
  <c r="E92" i="3" s="1"/>
  <c r="D91" i="3"/>
  <c r="E91" i="3" s="1"/>
  <c r="D90" i="3"/>
  <c r="E90" i="3" s="1"/>
  <c r="D88" i="3"/>
  <c r="E88" i="3" s="1"/>
  <c r="D87" i="3"/>
  <c r="E87" i="3" s="1"/>
  <c r="D86" i="3"/>
  <c r="D85" i="3"/>
  <c r="D83" i="3"/>
  <c r="E83" i="3" s="1"/>
  <c r="D81" i="3"/>
  <c r="E81" i="3" s="1"/>
  <c r="D80" i="3"/>
  <c r="D79" i="3"/>
  <c r="D78" i="3"/>
  <c r="D76" i="3"/>
  <c r="E76" i="3" s="1"/>
  <c r="D74" i="3"/>
  <c r="E74" i="3" s="1"/>
  <c r="D73" i="3"/>
  <c r="D72" i="3"/>
  <c r="E72" i="3" s="1"/>
  <c r="C72" i="3" s="1"/>
  <c r="D71" i="3"/>
  <c r="E71" i="3" s="1"/>
  <c r="D70" i="3"/>
  <c r="E70" i="3" s="1"/>
  <c r="D69" i="3"/>
  <c r="E69" i="3" s="1"/>
  <c r="D67" i="3"/>
  <c r="E67" i="3" s="1"/>
  <c r="D66" i="3"/>
  <c r="D65" i="3"/>
  <c r="D64" i="3"/>
  <c r="E64" i="3" s="1"/>
  <c r="D63" i="3"/>
  <c r="E63" i="3" s="1"/>
  <c r="D61" i="3"/>
  <c r="E61" i="3" s="1"/>
  <c r="D59" i="3"/>
  <c r="D58" i="3"/>
  <c r="E58" i="3" s="1"/>
  <c r="D56" i="3"/>
  <c r="E56" i="3" s="1"/>
  <c r="D55" i="3"/>
  <c r="D54" i="3"/>
  <c r="E54" i="3" s="1"/>
  <c r="D11" i="3"/>
  <c r="E11" i="3" s="1"/>
  <c r="D28" i="3"/>
  <c r="D49" i="3"/>
  <c r="D50" i="3"/>
  <c r="D48" i="3"/>
  <c r="D41" i="3"/>
  <c r="D47" i="3"/>
  <c r="D46" i="3"/>
  <c r="D45" i="3"/>
  <c r="E45" i="3" s="1"/>
  <c r="D43" i="3"/>
  <c r="E43" i="3" s="1"/>
  <c r="D42" i="3"/>
  <c r="D40" i="3"/>
  <c r="D39" i="3"/>
  <c r="E39" i="3" s="1"/>
  <c r="D38" i="3"/>
  <c r="E38" i="3" s="1"/>
  <c r="D36" i="3"/>
  <c r="E36" i="3" s="1"/>
  <c r="D35" i="3"/>
  <c r="E35" i="3" s="1"/>
  <c r="D34" i="3"/>
  <c r="E34" i="3" s="1"/>
  <c r="D30" i="3"/>
  <c r="E30" i="3" s="1"/>
  <c r="D33" i="3"/>
  <c r="E33" i="3" s="1"/>
  <c r="D27" i="3"/>
  <c r="E27" i="3" s="1"/>
  <c r="D26" i="3"/>
  <c r="E26" i="3" s="1"/>
  <c r="D23" i="3"/>
  <c r="E23" i="3" s="1"/>
  <c r="D21" i="3"/>
  <c r="E21" i="3" s="1"/>
  <c r="D20" i="3"/>
  <c r="E20" i="3" s="1"/>
  <c r="D19" i="3"/>
  <c r="E19" i="3" s="1"/>
  <c r="D17" i="3"/>
  <c r="D16" i="3"/>
  <c r="E16" i="3" s="1"/>
  <c r="D14" i="3"/>
  <c r="E14" i="3" s="1"/>
  <c r="D13" i="3"/>
  <c r="D12" i="3"/>
  <c r="E12" i="3" s="1"/>
  <c r="D10" i="3"/>
  <c r="E10" i="3" s="1"/>
  <c r="D8" i="3"/>
  <c r="E8" i="3" s="1"/>
  <c r="D7" i="3"/>
  <c r="E7" i="3" s="1"/>
  <c r="D6" i="3"/>
  <c r="E6" i="3" s="1"/>
  <c r="D5" i="3"/>
  <c r="E5" i="3" s="1"/>
  <c r="D3" i="3"/>
  <c r="E3" i="3" s="1"/>
  <c r="D32" i="3"/>
  <c r="E32" i="3" s="1"/>
  <c r="D18" i="3"/>
  <c r="E18" i="3" s="1"/>
  <c r="D2" i="3"/>
  <c r="D1" i="3"/>
  <c r="E1" i="3" s="1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382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66" i="2"/>
  <c r="A315" i="2"/>
  <c r="A310" i="2"/>
  <c r="A311" i="2"/>
  <c r="A312" i="2"/>
  <c r="A313" i="2"/>
  <c r="A314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09" i="2"/>
  <c r="A308" i="2"/>
  <c r="D58" i="2"/>
  <c r="D57" i="2"/>
  <c r="S238" i="2"/>
  <c r="S239" i="2"/>
  <c r="S240" i="2"/>
  <c r="U234" i="2"/>
  <c r="S225" i="2"/>
  <c r="S181" i="2"/>
  <c r="S182" i="2"/>
  <c r="U525" i="2"/>
  <c r="U524" i="2"/>
  <c r="U523" i="2"/>
  <c r="U522" i="2"/>
  <c r="B522" i="2"/>
  <c r="S199" i="2"/>
  <c r="S194" i="2"/>
  <c r="S195" i="2"/>
  <c r="S196" i="2"/>
  <c r="S197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3" i="2"/>
  <c r="S184" i="2"/>
  <c r="S185" i="2"/>
  <c r="S186" i="2"/>
  <c r="S187" i="2"/>
  <c r="S188" i="2"/>
  <c r="S189" i="2"/>
  <c r="S190" i="2"/>
  <c r="S191" i="2"/>
  <c r="S192" i="2"/>
  <c r="S193" i="2"/>
  <c r="S198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158" i="2"/>
  <c r="C155" i="2"/>
  <c r="C154" i="2"/>
  <c r="C49" i="2"/>
  <c r="C48" i="2"/>
  <c r="C47" i="2"/>
  <c r="C46" i="2"/>
  <c r="C45" i="2"/>
  <c r="C44" i="2"/>
  <c r="C43" i="2"/>
  <c r="C42" i="2"/>
  <c r="C41" i="2"/>
  <c r="C40" i="2"/>
  <c r="C38" i="2"/>
  <c r="C37" i="2"/>
  <c r="M14" i="2"/>
  <c r="I14" i="2"/>
  <c r="J14" i="2" s="1"/>
  <c r="H14" i="2"/>
  <c r="C14" i="2"/>
  <c r="O14" i="2" s="1"/>
  <c r="M13" i="2"/>
  <c r="I13" i="2"/>
  <c r="J13" i="2" s="1"/>
  <c r="H13" i="2"/>
  <c r="C13" i="2"/>
  <c r="O13" i="2" s="1"/>
  <c r="M12" i="2"/>
  <c r="I12" i="2"/>
  <c r="J12" i="2" s="1"/>
  <c r="H12" i="2"/>
  <c r="C12" i="2"/>
  <c r="O12" i="2" s="1"/>
  <c r="N11" i="2"/>
  <c r="M11" i="2"/>
  <c r="J11" i="2"/>
  <c r="H11" i="2"/>
  <c r="C11" i="2"/>
  <c r="O11" i="2" s="1"/>
  <c r="N10" i="2"/>
  <c r="M10" i="2"/>
  <c r="J10" i="2"/>
  <c r="H10" i="2"/>
  <c r="C10" i="2"/>
  <c r="O10" i="2" s="1"/>
  <c r="N9" i="2"/>
  <c r="M9" i="2"/>
  <c r="J9" i="2"/>
  <c r="H9" i="2"/>
  <c r="C9" i="2"/>
  <c r="O9" i="2" s="1"/>
  <c r="M8" i="2"/>
  <c r="J8" i="2"/>
  <c r="H8" i="2"/>
  <c r="C8" i="2"/>
  <c r="O8" i="2" s="1"/>
  <c r="M7" i="2"/>
  <c r="J7" i="2"/>
  <c r="H7" i="2"/>
  <c r="C7" i="2"/>
  <c r="O7" i="2" s="1"/>
  <c r="M6" i="2"/>
  <c r="J6" i="2"/>
  <c r="H6" i="2"/>
  <c r="C6" i="2"/>
  <c r="O6" i="2" s="1"/>
  <c r="M5" i="2"/>
  <c r="J5" i="2"/>
  <c r="H5" i="2"/>
  <c r="M4" i="2"/>
  <c r="J4" i="2"/>
  <c r="H4" i="2"/>
  <c r="C4" i="2"/>
  <c r="O4" i="2" s="1"/>
  <c r="M3" i="2"/>
  <c r="J3" i="2"/>
  <c r="H3" i="2"/>
  <c r="E111" i="3" l="1"/>
  <c r="C111" i="3" s="1"/>
  <c r="E65" i="3"/>
  <c r="E73" i="3"/>
  <c r="C73" i="3" s="1"/>
  <c r="C70" i="3"/>
  <c r="C71" i="3"/>
  <c r="E120" i="3"/>
  <c r="C120" i="3" s="1"/>
  <c r="E2" i="3"/>
  <c r="C2" i="3" s="1"/>
  <c r="E13" i="3"/>
  <c r="C13" i="3" s="1"/>
  <c r="E78" i="3"/>
  <c r="C78" i="3" s="1"/>
  <c r="E79" i="3"/>
  <c r="C79" i="3" s="1"/>
  <c r="E80" i="3"/>
  <c r="C80" i="3" s="1"/>
  <c r="E85" i="3"/>
  <c r="C85" i="3" s="1"/>
  <c r="E86" i="3"/>
  <c r="C86" i="3" s="1"/>
  <c r="E84" i="3"/>
  <c r="C84" i="3" s="1"/>
  <c r="E17" i="3"/>
  <c r="C17" i="3" s="1"/>
  <c r="E42" i="3"/>
  <c r="E40" i="3" s="1"/>
  <c r="C40" i="3" s="1"/>
  <c r="E50" i="3"/>
  <c r="E28" i="3"/>
  <c r="E25" i="3" s="1"/>
  <c r="C25" i="3" s="1"/>
  <c r="E55" i="3"/>
  <c r="C55" i="3" s="1"/>
  <c r="E59" i="3"/>
  <c r="E66" i="3"/>
  <c r="C65" i="3" l="1"/>
  <c r="C59" i="3"/>
  <c r="E60" i="3"/>
  <c r="C60" i="3" s="1"/>
  <c r="E46" i="3"/>
  <c r="C46" i="3" s="1"/>
  <c r="E41" i="3"/>
  <c r="C41" i="3" s="1"/>
  <c r="E47" i="3" l="1"/>
  <c r="C47" i="3" l="1"/>
  <c r="E48" i="3"/>
  <c r="C48" i="3" l="1"/>
  <c r="E49" i="3"/>
  <c r="C4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tc={EF27F7E7-BCD1-4BB4-B165-665A500AE220}</author>
    <author>tc={6A4FB031-61AA-4F74-A294-1C16AAA55063}</author>
    <author>tc={F83AE638-741C-4275-9BA1-B4F0D8C76A21}</author>
    <author>tc={E83A0475-4535-45BE-9733-0F7BF8A646B0}</author>
  </authors>
  <commentList>
    <comment ref="D57" authorId="0" shapeId="0" xr:uid="{EF27F7E7-BCD1-4BB4-B165-665A500AE2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não encontrado, valor estimado</t>
      </text>
    </comment>
    <comment ref="D58" authorId="1" shapeId="0" xr:uid="{6A4FB031-61AA-4F74-A294-1C16AAA550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Preço não encontrado, valor estimado.</t>
      </text>
    </comment>
    <comment ref="A130" authorId="2" shapeId="0" xr:uid="{F83AE638-741C-4275-9BA1-B4F0D8C76A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Limit Load, pressão 40 mmCA, 15CV, 220V/380V, acionamento direto. 13/10/2022, Aeroville</t>
      </text>
    </comment>
    <comment ref="A132" authorId="3" shapeId="0" xr:uid="{E83A0475-4535-45BE-9733-0F7BF8A646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Sicflux FH 250</t>
      </text>
    </comment>
  </commentList>
</comments>
</file>

<file path=xl/sharedStrings.xml><?xml version="1.0" encoding="utf-8"?>
<sst xmlns="http://schemas.openxmlformats.org/spreadsheetml/2006/main" count="2820" uniqueCount="554">
  <si>
    <t>Wall Mounted</t>
  </si>
  <si>
    <t>Preço Base</t>
  </si>
  <si>
    <t>Aut. Embarcada</t>
  </si>
  <si>
    <t>1 Damper Manual</t>
  </si>
  <si>
    <t>2 Dampers Manuais</t>
  </si>
  <si>
    <t>1 Damper com atuador on/off</t>
  </si>
  <si>
    <t>2 Dampers com atuador on/off</t>
  </si>
  <si>
    <t>Ventilador Eletrônico</t>
  </si>
  <si>
    <t>Controle de Condensação Proporcional</t>
  </si>
  <si>
    <t>Goldfin</t>
  </si>
  <si>
    <t>Sensor de Filtro Sujo</t>
  </si>
  <si>
    <t>Resistencia de Aquecimento</t>
  </si>
  <si>
    <t>Pintura Especial</t>
  </si>
  <si>
    <t>Chaparia em Inox</t>
  </si>
  <si>
    <t>PIS/COFINS</t>
  </si>
  <si>
    <t>IPI</t>
  </si>
  <si>
    <t>ICMS</t>
  </si>
  <si>
    <t>PRAZO</t>
  </si>
  <si>
    <t>FRETE</t>
  </si>
  <si>
    <t>DATA</t>
  </si>
  <si>
    <t>FABRICANTE</t>
  </si>
  <si>
    <t>NCM</t>
  </si>
  <si>
    <t>1TR</t>
  </si>
  <si>
    <t>INCL</t>
  </si>
  <si>
    <t>ISENTO</t>
  </si>
  <si>
    <t>12% ICMS</t>
  </si>
  <si>
    <t>45 a 60 dias</t>
  </si>
  <si>
    <t>FOB/Cabreúva/SP</t>
  </si>
  <si>
    <t>TOSI</t>
  </si>
  <si>
    <t>8415.10.19</t>
  </si>
  <si>
    <t>2TR</t>
  </si>
  <si>
    <t>3TR</t>
  </si>
  <si>
    <t>4TR</t>
  </si>
  <si>
    <t>5TR</t>
  </si>
  <si>
    <t>7,5TR</t>
  </si>
  <si>
    <t>10TR</t>
  </si>
  <si>
    <t>8415.10.90</t>
  </si>
  <si>
    <t>12,5TR</t>
  </si>
  <si>
    <t>15TR</t>
  </si>
  <si>
    <t>20TR</t>
  </si>
  <si>
    <t>25TR</t>
  </si>
  <si>
    <t>30TR</t>
  </si>
  <si>
    <t>Split System</t>
  </si>
  <si>
    <t>8415.10.11</t>
  </si>
  <si>
    <t>-</t>
  </si>
  <si>
    <t>35TR</t>
  </si>
  <si>
    <t>40TR</t>
  </si>
  <si>
    <t>45TR</t>
  </si>
  <si>
    <t>50TR</t>
  </si>
  <si>
    <t>55TR</t>
  </si>
  <si>
    <t>60TR</t>
  </si>
  <si>
    <t>Self Contained</t>
  </si>
  <si>
    <t>Inverter</t>
  </si>
  <si>
    <t>Quente/Frio</t>
  </si>
  <si>
    <t>Inverter e Quente/Frio</t>
  </si>
  <si>
    <t>Mão de Obra de Instalação</t>
  </si>
  <si>
    <t>Split Piso-Teto</t>
  </si>
  <si>
    <t>18.000BTU/h</t>
  </si>
  <si>
    <t>22.000BTU/h</t>
  </si>
  <si>
    <t>24.000BTU/h</t>
  </si>
  <si>
    <t>10 dias</t>
  </si>
  <si>
    <t>ELGIN</t>
  </si>
  <si>
    <t>30.000BTU/h</t>
  </si>
  <si>
    <t>36.000BTU/h</t>
  </si>
  <si>
    <t>48.000BTU/h</t>
  </si>
  <si>
    <t>60.000BTU/h</t>
  </si>
  <si>
    <t>70.000BTU/h</t>
  </si>
  <si>
    <t>CARRIER</t>
  </si>
  <si>
    <t>80.000BTU/h</t>
  </si>
  <si>
    <t>Split Hi-Wall</t>
  </si>
  <si>
    <t>7.000BTU/h</t>
  </si>
  <si>
    <t>9.000BTU/h</t>
  </si>
  <si>
    <t>12 dias</t>
  </si>
  <si>
    <t>SPRINGER</t>
  </si>
  <si>
    <t>12.000BTU/h</t>
  </si>
  <si>
    <t>TCL/ELGIN</t>
  </si>
  <si>
    <t>21.000BTU/h</t>
  </si>
  <si>
    <t>8 dias</t>
  </si>
  <si>
    <t>PHILCO/EOS</t>
  </si>
  <si>
    <t>ACJ</t>
  </si>
  <si>
    <t>7.500BTU/h</t>
  </si>
  <si>
    <t>7 dias</t>
  </si>
  <si>
    <t>CONSUL</t>
  </si>
  <si>
    <t>10.000BTU/h</t>
  </si>
  <si>
    <t xml:space="preserve">5 dias </t>
  </si>
  <si>
    <t>5 dias</t>
  </si>
  <si>
    <t>20.000BTU/h</t>
  </si>
  <si>
    <t>27.000BTU/h</t>
  </si>
  <si>
    <t>com 10mmCA</t>
  </si>
  <si>
    <t>com 15mmCA</t>
  </si>
  <si>
    <t>com 20mmCA</t>
  </si>
  <si>
    <t>Grade de Proteção</t>
  </si>
  <si>
    <t>Proteção de Chuva</t>
  </si>
  <si>
    <t>Damper de Sobrepressão</t>
  </si>
  <si>
    <t>Modelo Referência para 5mmCA</t>
  </si>
  <si>
    <t>Potência para 5mmCA</t>
  </si>
  <si>
    <t>Tubo Axial</t>
  </si>
  <si>
    <t>1400m³/h</t>
  </si>
  <si>
    <t>VA-400</t>
  </si>
  <si>
    <t>0,5CV</t>
  </si>
  <si>
    <t>8414.59.90</t>
  </si>
  <si>
    <t>2200m³/h</t>
  </si>
  <si>
    <t>VA-300</t>
  </si>
  <si>
    <t>0,16CV</t>
  </si>
  <si>
    <t>8414.51.90</t>
  </si>
  <si>
    <t>3100m³/h</t>
  </si>
  <si>
    <t>3400m³/h</t>
  </si>
  <si>
    <t>3600m³/h</t>
  </si>
  <si>
    <t>VA-350</t>
  </si>
  <si>
    <t>0,25CV</t>
  </si>
  <si>
    <t>4900m³/h</t>
  </si>
  <si>
    <t>VA-450</t>
  </si>
  <si>
    <t>5500m³/h</t>
  </si>
  <si>
    <t>6200m³/h</t>
  </si>
  <si>
    <t>1,0CV</t>
  </si>
  <si>
    <t>6800m³/h</t>
  </si>
  <si>
    <t>0,75CV</t>
  </si>
  <si>
    <t>8440m³/h</t>
  </si>
  <si>
    <t>2,0CV</t>
  </si>
  <si>
    <t>9100m³/h</t>
  </si>
  <si>
    <t>VA-550</t>
  </si>
  <si>
    <t>10100m³/h</t>
  </si>
  <si>
    <t>VA-500</t>
  </si>
  <si>
    <t>11500m³/h</t>
  </si>
  <si>
    <t>VA-600</t>
  </si>
  <si>
    <t>12500m³/h</t>
  </si>
  <si>
    <t>VA-650</t>
  </si>
  <si>
    <t>14300m³/h</t>
  </si>
  <si>
    <t>AEROVILLE</t>
  </si>
  <si>
    <t>15900m³/h</t>
  </si>
  <si>
    <t>5,0CV</t>
  </si>
  <si>
    <t>18200m³/h</t>
  </si>
  <si>
    <t>VA-700</t>
  </si>
  <si>
    <t>1,5CV</t>
  </si>
  <si>
    <t>18600m³/h</t>
  </si>
  <si>
    <t>3,0CV</t>
  </si>
  <si>
    <t>22800m³/h</t>
  </si>
  <si>
    <t>4,0CV</t>
  </si>
  <si>
    <t>24800m³/h</t>
  </si>
  <si>
    <t>VA-800</t>
  </si>
  <si>
    <t>25500m³/h</t>
  </si>
  <si>
    <t>36100m³/h</t>
  </si>
  <si>
    <t>VA-900</t>
  </si>
  <si>
    <t>38800m³/h</t>
  </si>
  <si>
    <t>VA-1000</t>
  </si>
  <si>
    <t>39800m³/h</t>
  </si>
  <si>
    <t>7,5CV</t>
  </si>
  <si>
    <t>47800m³/h</t>
  </si>
  <si>
    <t>VA-1100</t>
  </si>
  <si>
    <t>52100m³/h</t>
  </si>
  <si>
    <t>10,0CV</t>
  </si>
  <si>
    <t>55800m³/h</t>
  </si>
  <si>
    <t>VA-1200</t>
  </si>
  <si>
    <t>61500m³/h</t>
  </si>
  <si>
    <t>12,5CV</t>
  </si>
  <si>
    <t>Tubo Axial Anti-Explosão</t>
  </si>
  <si>
    <t>1630m³/h</t>
  </si>
  <si>
    <t>PE 200e T2</t>
  </si>
  <si>
    <t>45 dias uteis</t>
  </si>
  <si>
    <t>FOB/Rio de Janeiro</t>
  </si>
  <si>
    <t>VESPER</t>
  </si>
  <si>
    <t>Caixa de Ventilação</t>
  </si>
  <si>
    <t>500m³/h</t>
  </si>
  <si>
    <t>750m³/h</t>
  </si>
  <si>
    <t>1000m³/h</t>
  </si>
  <si>
    <t>1200m³/h</t>
  </si>
  <si>
    <t>1500m³/h</t>
  </si>
  <si>
    <t>2000m³/h</t>
  </si>
  <si>
    <t>2500m³/h</t>
  </si>
  <si>
    <t>3000m³/h</t>
  </si>
  <si>
    <t>3500m³/h</t>
  </si>
  <si>
    <t>4000m³/h</t>
  </si>
  <si>
    <t>4500m³/h</t>
  </si>
  <si>
    <t>5000m³/h</t>
  </si>
  <si>
    <t>6000m³/h</t>
  </si>
  <si>
    <t>7000m³/h</t>
  </si>
  <si>
    <t>Filtro Cartucho</t>
  </si>
  <si>
    <t>4200m³/h</t>
  </si>
  <si>
    <t>Centrífugo</t>
  </si>
  <si>
    <t>30000m³/h</t>
  </si>
  <si>
    <t>Gabinetes Inline</t>
  </si>
  <si>
    <t>FH 150 G4</t>
  </si>
  <si>
    <t>300m³/h</t>
  </si>
  <si>
    <t>SICFLUX</t>
  </si>
  <si>
    <t>FH 200 G4+F5</t>
  </si>
  <si>
    <t>700m³/h</t>
  </si>
  <si>
    <t>FH 250 G4+F5</t>
  </si>
  <si>
    <t>900m³/h</t>
  </si>
  <si>
    <t>FH 315 G4+F5</t>
  </si>
  <si>
    <t>FH 355 G4+F5</t>
  </si>
  <si>
    <t>FH 400 G4+F5</t>
  </si>
  <si>
    <t>1800m³/h</t>
  </si>
  <si>
    <t>Kg cobre</t>
  </si>
  <si>
    <t>Metro isolante 1.1/8</t>
  </si>
  <si>
    <t>Metro isolante 5/8</t>
  </si>
  <si>
    <t>Kg Gás R-410A</t>
  </si>
  <si>
    <t>Metro tubo PVC 3/4"</t>
  </si>
  <si>
    <t>Metro tubo PVC 1"</t>
  </si>
  <si>
    <t>Metro Barra Roscada 3/8"</t>
  </si>
  <si>
    <t>Chumbador 3/8" por 2.1/2"</t>
  </si>
  <si>
    <t>GI RG</t>
  </si>
  <si>
    <t>225x125</t>
  </si>
  <si>
    <t>TROPICAL</t>
  </si>
  <si>
    <t>7610.90.00</t>
  </si>
  <si>
    <t>225x165</t>
  </si>
  <si>
    <t>225x225</t>
  </si>
  <si>
    <t>325x125</t>
  </si>
  <si>
    <t>325x165</t>
  </si>
  <si>
    <t>325x225</t>
  </si>
  <si>
    <t>325x325</t>
  </si>
  <si>
    <t>425x125</t>
  </si>
  <si>
    <t>425x165</t>
  </si>
  <si>
    <t>425x225</t>
  </si>
  <si>
    <t>425x325</t>
  </si>
  <si>
    <t>425x425</t>
  </si>
  <si>
    <t>525x125</t>
  </si>
  <si>
    <t>525x165</t>
  </si>
  <si>
    <t>525x225</t>
  </si>
  <si>
    <t>525x325</t>
  </si>
  <si>
    <t>525x425</t>
  </si>
  <si>
    <t>525x525</t>
  </si>
  <si>
    <t>625x125</t>
  </si>
  <si>
    <t>625x165</t>
  </si>
  <si>
    <t>625x225</t>
  </si>
  <si>
    <t>625x325</t>
  </si>
  <si>
    <t>625x425</t>
  </si>
  <si>
    <t>625x525</t>
  </si>
  <si>
    <t>825x125</t>
  </si>
  <si>
    <t>825x165</t>
  </si>
  <si>
    <t>825x225</t>
  </si>
  <si>
    <t>825x325</t>
  </si>
  <si>
    <t>825x425</t>
  </si>
  <si>
    <t>825x525</t>
  </si>
  <si>
    <t>1025x125</t>
  </si>
  <si>
    <t>1025x165</t>
  </si>
  <si>
    <t>1025x225</t>
  </si>
  <si>
    <t>1025x325</t>
  </si>
  <si>
    <t>1025x425</t>
  </si>
  <si>
    <t>1025x525</t>
  </si>
  <si>
    <t>1225x125</t>
  </si>
  <si>
    <t>1225x165</t>
  </si>
  <si>
    <t>1225x225</t>
  </si>
  <si>
    <t>1225x325</t>
  </si>
  <si>
    <t>1225x425</t>
  </si>
  <si>
    <t>1225x525</t>
  </si>
  <si>
    <t>GR RG</t>
  </si>
  <si>
    <t>TAE</t>
  </si>
  <si>
    <t>200x200</t>
  </si>
  <si>
    <t>300x200</t>
  </si>
  <si>
    <t>300x300</t>
  </si>
  <si>
    <t>400x200</t>
  </si>
  <si>
    <t>400x300</t>
  </si>
  <si>
    <t>400x400</t>
  </si>
  <si>
    <t>500x200</t>
  </si>
  <si>
    <t>500x300</t>
  </si>
  <si>
    <t>500x400</t>
  </si>
  <si>
    <t>500x500</t>
  </si>
  <si>
    <t>600x200</t>
  </si>
  <si>
    <t>600x300</t>
  </si>
  <si>
    <t>600x400</t>
  </si>
  <si>
    <t>600x500</t>
  </si>
  <si>
    <t>600x600</t>
  </si>
  <si>
    <t>750x200</t>
  </si>
  <si>
    <t>750x300</t>
  </si>
  <si>
    <t>750x400</t>
  </si>
  <si>
    <t>750x500</t>
  </si>
  <si>
    <t>750x600</t>
  </si>
  <si>
    <t>900x200</t>
  </si>
  <si>
    <t>900x300</t>
  </si>
  <si>
    <t>900x400</t>
  </si>
  <si>
    <t>900x500</t>
  </si>
  <si>
    <t>900x600</t>
  </si>
  <si>
    <t>900x800</t>
  </si>
  <si>
    <t>1000x200</t>
  </si>
  <si>
    <t>1000x300</t>
  </si>
  <si>
    <t>1000x400</t>
  </si>
  <si>
    <t>1000x500</t>
  </si>
  <si>
    <t>1000x600</t>
  </si>
  <si>
    <t>1000x800</t>
  </si>
  <si>
    <t>1200x200</t>
  </si>
  <si>
    <t>1200x300</t>
  </si>
  <si>
    <t>1200x400</t>
  </si>
  <si>
    <t>1200x500</t>
  </si>
  <si>
    <t>1200x600</t>
  </si>
  <si>
    <t>1200x800</t>
  </si>
  <si>
    <t>1200x1000</t>
  </si>
  <si>
    <t>1200x1200</t>
  </si>
  <si>
    <t>1500x400</t>
  </si>
  <si>
    <t>1500x500</t>
  </si>
  <si>
    <t>1500x600</t>
  </si>
  <si>
    <t>1500x800</t>
  </si>
  <si>
    <t>1500x1000</t>
  </si>
  <si>
    <t>1500x1200</t>
  </si>
  <si>
    <t>1500x1500</t>
  </si>
  <si>
    <t>1800x400</t>
  </si>
  <si>
    <t>1800x500</t>
  </si>
  <si>
    <t>1800x600</t>
  </si>
  <si>
    <t>1800x800</t>
  </si>
  <si>
    <t>1800x1000</t>
  </si>
  <si>
    <t>1800x1200</t>
  </si>
  <si>
    <t>1800x1500</t>
  </si>
  <si>
    <t>2000x500</t>
  </si>
  <si>
    <t>2000x600</t>
  </si>
  <si>
    <t>2000x800</t>
  </si>
  <si>
    <t>2000x1000</t>
  </si>
  <si>
    <t>2000x1200</t>
  </si>
  <si>
    <t>2000x1500</t>
  </si>
  <si>
    <t>PREÇO FUSÍVEL</t>
  </si>
  <si>
    <t>ATUADOR</t>
  </si>
  <si>
    <t>DCF 90</t>
  </si>
  <si>
    <t>200x250</t>
  </si>
  <si>
    <t>250X250</t>
  </si>
  <si>
    <t>300X250</t>
  </si>
  <si>
    <t>300X300</t>
  </si>
  <si>
    <t>350X250</t>
  </si>
  <si>
    <t>350X300</t>
  </si>
  <si>
    <t>350X350</t>
  </si>
  <si>
    <t>400X250</t>
  </si>
  <si>
    <t>400X300</t>
  </si>
  <si>
    <t>400X350</t>
  </si>
  <si>
    <t>400X400</t>
  </si>
  <si>
    <t>450X250</t>
  </si>
  <si>
    <t>450X300</t>
  </si>
  <si>
    <t>450X350</t>
  </si>
  <si>
    <t>450X400</t>
  </si>
  <si>
    <t>450X450</t>
  </si>
  <si>
    <t>500X250</t>
  </si>
  <si>
    <t>500X300</t>
  </si>
  <si>
    <t>21/06/2023 E 01/04/2023</t>
  </si>
  <si>
    <t>500X350</t>
  </si>
  <si>
    <t>500X400</t>
  </si>
  <si>
    <t>500X450</t>
  </si>
  <si>
    <t>500X500</t>
  </si>
  <si>
    <t>550X250</t>
  </si>
  <si>
    <t>550X300</t>
  </si>
  <si>
    <t>550X350</t>
  </si>
  <si>
    <t>550X400</t>
  </si>
  <si>
    <t>550X450</t>
  </si>
  <si>
    <t>550X500</t>
  </si>
  <si>
    <t>550X550</t>
  </si>
  <si>
    <t>600X250</t>
  </si>
  <si>
    <t>600X300</t>
  </si>
  <si>
    <t>600X350</t>
  </si>
  <si>
    <t>600X400</t>
  </si>
  <si>
    <t>600X450</t>
  </si>
  <si>
    <t>600X500</t>
  </si>
  <si>
    <t>600X550</t>
  </si>
  <si>
    <t>600X600</t>
  </si>
  <si>
    <t>650X250</t>
  </si>
  <si>
    <t>650X300</t>
  </si>
  <si>
    <t>650X350</t>
  </si>
  <si>
    <t>650X400</t>
  </si>
  <si>
    <t>650X450</t>
  </si>
  <si>
    <t>650X500</t>
  </si>
  <si>
    <t>650X550</t>
  </si>
  <si>
    <t>650X600</t>
  </si>
  <si>
    <t>650X650</t>
  </si>
  <si>
    <t>700X250</t>
  </si>
  <si>
    <t>700X300</t>
  </si>
  <si>
    <t>700X350</t>
  </si>
  <si>
    <t>700X400</t>
  </si>
  <si>
    <t>700X450</t>
  </si>
  <si>
    <t>700X500</t>
  </si>
  <si>
    <t>700X550</t>
  </si>
  <si>
    <t>700X600</t>
  </si>
  <si>
    <t>700X650</t>
  </si>
  <si>
    <t>700X700</t>
  </si>
  <si>
    <t>750X250</t>
  </si>
  <si>
    <t>750X300</t>
  </si>
  <si>
    <t>750X350</t>
  </si>
  <si>
    <t>750X400</t>
  </si>
  <si>
    <t>750X450</t>
  </si>
  <si>
    <t>750X500</t>
  </si>
  <si>
    <t>750X550</t>
  </si>
  <si>
    <t>750X600</t>
  </si>
  <si>
    <t>750X650</t>
  </si>
  <si>
    <t>750X700</t>
  </si>
  <si>
    <t>750X750</t>
  </si>
  <si>
    <t>800X250</t>
  </si>
  <si>
    <t>800X300</t>
  </si>
  <si>
    <t>800X350</t>
  </si>
  <si>
    <t>800X400</t>
  </si>
  <si>
    <t>800X450</t>
  </si>
  <si>
    <t>800X500</t>
  </si>
  <si>
    <t>800X550</t>
  </si>
  <si>
    <t>800X600</t>
  </si>
  <si>
    <t>800X650</t>
  </si>
  <si>
    <t>800X700</t>
  </si>
  <si>
    <t>800X750</t>
  </si>
  <si>
    <t>800X800</t>
  </si>
  <si>
    <t>850X250</t>
  </si>
  <si>
    <t>850X300</t>
  </si>
  <si>
    <t>850X350</t>
  </si>
  <si>
    <t>850X400</t>
  </si>
  <si>
    <t>850X450</t>
  </si>
  <si>
    <t>850X500</t>
  </si>
  <si>
    <t>850X550</t>
  </si>
  <si>
    <t>850X600</t>
  </si>
  <si>
    <t>850X650</t>
  </si>
  <si>
    <t>850X700</t>
  </si>
  <si>
    <t>850X750</t>
  </si>
  <si>
    <t>850X800</t>
  </si>
  <si>
    <t>850X850</t>
  </si>
  <si>
    <t>900X250</t>
  </si>
  <si>
    <t>900X300</t>
  </si>
  <si>
    <t>900X350</t>
  </si>
  <si>
    <t>900X400</t>
  </si>
  <si>
    <t>900X450</t>
  </si>
  <si>
    <t>900X500</t>
  </si>
  <si>
    <t>900X550</t>
  </si>
  <si>
    <t>900X600</t>
  </si>
  <si>
    <t>900X650</t>
  </si>
  <si>
    <t>900X700</t>
  </si>
  <si>
    <t>900X750</t>
  </si>
  <si>
    <t>900X800</t>
  </si>
  <si>
    <t>900X850</t>
  </si>
  <si>
    <t>900X900</t>
  </si>
  <si>
    <t>950X250</t>
  </si>
  <si>
    <t>950X300</t>
  </si>
  <si>
    <t>950X350</t>
  </si>
  <si>
    <t>950X400</t>
  </si>
  <si>
    <t>950X450</t>
  </si>
  <si>
    <t>950X500</t>
  </si>
  <si>
    <t>950X550</t>
  </si>
  <si>
    <t>950X600</t>
  </si>
  <si>
    <t>950X650</t>
  </si>
  <si>
    <t>950X700</t>
  </si>
  <si>
    <t>950X750</t>
  </si>
  <si>
    <t>950X800</t>
  </si>
  <si>
    <t>950X850</t>
  </si>
  <si>
    <t>950X900</t>
  </si>
  <si>
    <t>950X950</t>
  </si>
  <si>
    <t>1000X250</t>
  </si>
  <si>
    <t>1000X300</t>
  </si>
  <si>
    <t>1000X350</t>
  </si>
  <si>
    <t>1000X400</t>
  </si>
  <si>
    <t>1000X450</t>
  </si>
  <si>
    <t>1000X500</t>
  </si>
  <si>
    <t>1000X550</t>
  </si>
  <si>
    <t>1000X600</t>
  </si>
  <si>
    <t>1000X650</t>
  </si>
  <si>
    <t>1000X700</t>
  </si>
  <si>
    <t>1000X750</t>
  </si>
  <si>
    <t>1000X800</t>
  </si>
  <si>
    <t>1000X850</t>
  </si>
  <si>
    <t>1000X900</t>
  </si>
  <si>
    <t>1000X950</t>
  </si>
  <si>
    <t>1000X1000</t>
  </si>
  <si>
    <t>Redução</t>
  </si>
  <si>
    <t>Bitola</t>
  </si>
  <si>
    <t>Preço</t>
  </si>
  <si>
    <t>1/4x3/8 (e=0,58mm)</t>
  </si>
  <si>
    <t>Frigelar</t>
  </si>
  <si>
    <t>1/2x3/8 (e=0,66mm)</t>
  </si>
  <si>
    <t>1/2x5/8 (e=0,74mm)</t>
  </si>
  <si>
    <t>1/2x3/4( e=0,79mm)</t>
  </si>
  <si>
    <t>1/2x7/8( e=0,84mm)</t>
  </si>
  <si>
    <t>5/8x3/8( e =0,74mm)</t>
  </si>
  <si>
    <t>5/8x7/8( e=0,84mm)</t>
  </si>
  <si>
    <t>5/8x1.1/8( e=1,02mm)</t>
  </si>
  <si>
    <t>3/4x5/8( e=0,79mm)</t>
  </si>
  <si>
    <t>3/4x7/8( e=0,84mm)</t>
  </si>
  <si>
    <t>3/4x1.1/8( e=1,02mm)</t>
  </si>
  <si>
    <t>7/8x1.1/8( e=1,02mm)</t>
  </si>
  <si>
    <t>7/8x1.3/8( e=1,12mm)</t>
  </si>
  <si>
    <t>7.8x1.5/8( e=1,30mm)</t>
  </si>
  <si>
    <t>1.1/8x1.3/8( e=1,12mm)</t>
  </si>
  <si>
    <t>1.1/8X1(-)</t>
  </si>
  <si>
    <t>Friominas</t>
  </si>
  <si>
    <t>1.1/8X1( e=1,02mm)</t>
  </si>
  <si>
    <t>1.1/8x1.5/8( e=1,30mm)</t>
  </si>
  <si>
    <t>1.1/2x1.3/8(-)</t>
  </si>
  <si>
    <t>1.1/2x1.5/8(-)</t>
  </si>
  <si>
    <t>1.3/8x1.1/4(-)</t>
  </si>
  <si>
    <t>1.3/8x1.5/8( e=1,30mm)</t>
  </si>
  <si>
    <t>CURVA</t>
  </si>
  <si>
    <t>45° 1/4 (-)</t>
  </si>
  <si>
    <t>45° 3/8 (0.58mm)</t>
  </si>
  <si>
    <t>45° 1/2 (0.66mm)</t>
  </si>
  <si>
    <t xml:space="preserve">45° 5/8 (0,74mm) </t>
  </si>
  <si>
    <t>45° 3/4 (0,79mm)</t>
  </si>
  <si>
    <t>45° 7/8 (0,84mm)</t>
  </si>
  <si>
    <t>45° 1 (0,84mm)</t>
  </si>
  <si>
    <t>45° 1.1/8 (1,02mm)</t>
  </si>
  <si>
    <t>45° 1.3/8  (1,12mm)</t>
  </si>
  <si>
    <t>45° 1.5/8 (1,30mm)</t>
  </si>
  <si>
    <t>90° 1/4 (0,48mm)</t>
  </si>
  <si>
    <t>90° 3/8 (0,58mm)</t>
  </si>
  <si>
    <t>90° 1/2 (0,66mm)</t>
  </si>
  <si>
    <t>90° 5/8 (0,74mm)</t>
  </si>
  <si>
    <t xml:space="preserve">90° 3/4 (0,79mm) </t>
  </si>
  <si>
    <t>90° 3/4 (1,40mm)</t>
  </si>
  <si>
    <t>90° 7/8 (0,84mm)</t>
  </si>
  <si>
    <t>90° 7/8 (1,40mm)</t>
  </si>
  <si>
    <t>90° 1 (0,84mm)</t>
  </si>
  <si>
    <t>90° 1.1/8 (1,02mm)</t>
  </si>
  <si>
    <t>90° 1.1/8 (1,40mm)</t>
  </si>
  <si>
    <t>90° 1.1/2(1,12mm)</t>
  </si>
  <si>
    <t>90° 1.3/8(1,12mm)</t>
  </si>
  <si>
    <t>90° 1.5/8 (1,30mm)</t>
  </si>
  <si>
    <t>180° 1/2 ( 0,66mm)</t>
  </si>
  <si>
    <t>180° 3/4 (1,40mm)</t>
  </si>
  <si>
    <t>180° 7/8 (0,84mm)</t>
  </si>
  <si>
    <t>180° 1.1/8 (1,02mm)</t>
  </si>
  <si>
    <t>180° 1.3/8 (-)</t>
  </si>
  <si>
    <t>180° 1.5/8 (-)</t>
  </si>
  <si>
    <t>JUNÇÕES</t>
  </si>
  <si>
    <t xml:space="preserve"> 1/4 (0,48mm)</t>
  </si>
  <si>
    <t>1/4 (-)</t>
  </si>
  <si>
    <t>3/8 ( 0,58mm)</t>
  </si>
  <si>
    <t xml:space="preserve">1/2 (0,66mm) </t>
  </si>
  <si>
    <t>1/2 (-)</t>
  </si>
  <si>
    <t>5/8 (0,74mm)</t>
  </si>
  <si>
    <t>3/4 (0,79mm)</t>
  </si>
  <si>
    <t>7/8 (0,84mm)</t>
  </si>
  <si>
    <t>7/8 (1,59mm)</t>
  </si>
  <si>
    <t>7/8 (-)</t>
  </si>
  <si>
    <t>1 (0,84mm)</t>
  </si>
  <si>
    <t>1.1/8 (1,02mm)</t>
  </si>
  <si>
    <t>1.1/2 (1,12mm)</t>
  </si>
  <si>
    <t>1.3/8 (1,12mm)</t>
  </si>
  <si>
    <t>1.3/8 (1,59mm)</t>
  </si>
  <si>
    <t>1.5/8 (1,30mm)</t>
  </si>
  <si>
    <t>PVC</t>
  </si>
  <si>
    <t>R$ 5,54/ Metro</t>
  </si>
  <si>
    <t>Tigre</t>
  </si>
  <si>
    <t>Joelho 90(0,25mm)</t>
  </si>
  <si>
    <t>R$ 0,60/ Unidade</t>
  </si>
  <si>
    <t>Joelho 45(0,25mm)</t>
  </si>
  <si>
    <t>R$ 1,97/ Unidade</t>
  </si>
  <si>
    <t>Luva de junção 3/4</t>
  </si>
  <si>
    <t>R$ 1,17/ Unidade</t>
  </si>
  <si>
    <t>1400x300</t>
  </si>
  <si>
    <t>TRANSPORTADORA</t>
  </si>
  <si>
    <t>TELEFONE</t>
  </si>
  <si>
    <t>EMAIL</t>
  </si>
  <si>
    <t>Girocerto</t>
  </si>
  <si>
    <t>(31) 3369-2000</t>
  </si>
  <si>
    <t>contato@girocertoencomendas.com.br</t>
  </si>
  <si>
    <t>Paethus</t>
  </si>
  <si>
    <t>  (11) 2085-5200</t>
  </si>
  <si>
    <t>comercial@paethus.com.br</t>
  </si>
  <si>
    <t>TRM transportes</t>
  </si>
  <si>
    <t> (31) 2565-6910</t>
  </si>
  <si>
    <t>atendimento@trmlogistica.com.br</t>
  </si>
  <si>
    <t>Leadership Freight</t>
  </si>
  <si>
    <t>(32)3051-8115</t>
  </si>
  <si>
    <t>bhz@lfgex.com</t>
  </si>
  <si>
    <t>Camillo dos Santos</t>
  </si>
  <si>
    <t>(31)3597-0275</t>
  </si>
  <si>
    <t>tcs@camillodossantos.com.br</t>
  </si>
  <si>
    <t>VCB-Cargas</t>
  </si>
  <si>
    <t>(37)3321-1343</t>
  </si>
  <si>
    <t> expedicao.formiga@vcbcargas.com.br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</si>
</sst>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color rgb="FF333333"/>
      <name val="Open Sans"/>
      <family val="2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4" fontId="0" fillId="0" borderId="0" xfId="0" applyNumberFormat="1"/>
    <xf numFmtId="16" fontId="0" fillId="0" borderId="0" xfId="0" applyNumberFormat="1"/>
    <xf numFmtId="16" fontId="2" fillId="9" borderId="1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4" fontId="0" fillId="0" borderId="3" xfId="0" applyNumberFormat="1" applyBorder="1"/>
    <xf numFmtId="0" fontId="0" fillId="0" borderId="2" xfId="0" applyBorder="1" applyAlignment="1">
      <alignment horizontal="center"/>
    </xf>
    <xf numFmtId="8" fontId="0" fillId="0" borderId="0" xfId="0" applyNumberFormat="1"/>
    <xf numFmtId="6" fontId="0" fillId="0" borderId="0" xfId="0" applyNumberFormat="1"/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164" fontId="0" fillId="3" borderId="0" xfId="0" applyNumberFormat="1" applyFill="1"/>
    <xf numFmtId="0" fontId="0" fillId="3" borderId="0" xfId="0" applyFill="1"/>
    <xf numFmtId="164" fontId="0" fillId="8" borderId="0" xfId="0" applyNumberFormat="1" applyFill="1"/>
    <xf numFmtId="0" fontId="4" fillId="0" borderId="0" xfId="0" applyFont="1"/>
    <xf numFmtId="0" fontId="5" fillId="0" borderId="0" xfId="0" applyFont="1"/>
    <xf numFmtId="0" fontId="6" fillId="0" borderId="0" xfId="1"/>
    <xf numFmtId="0" fontId="6" fillId="0" borderId="0" xfId="1" applyAlignment="1">
      <alignment horizontal="left" wrapText="1"/>
    </xf>
    <xf numFmtId="0" fontId="6" fillId="10" borderId="4" xfId="1" applyFill="1" applyBorder="1" applyAlignment="1">
      <alignment wrapText="1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heus%20Pacheco/Desktop/HVAC/Planilha%20de%20Gest&#227;o%20de%20Projetos%20(MODELO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Auxiliar"/>
      <sheetName val="Folha de Rosto"/>
      <sheetName val="Cálculos"/>
      <sheetName val="Honorários"/>
      <sheetName val="Carga Térmica"/>
      <sheetName val="Rede de Dutos (AC)"/>
      <sheetName val="Rede de Dutos (Exaustão)"/>
      <sheetName val="Consumo Elétrico"/>
      <sheetName val="Checklist"/>
      <sheetName val="Planilha de Gestão de Projetos "/>
    </sheetNames>
    <sheetDataSet>
      <sheetData sheetId="0" refreshError="1"/>
      <sheetData sheetId="1">
        <row r="2">
          <cell r="K2" t="str">
            <v>Comércio varejista</v>
          </cell>
          <cell r="L2" t="str">
            <v>Edifícios de escritórios</v>
          </cell>
          <cell r="M2" t="str">
            <v>Bancos</v>
          </cell>
          <cell r="N2" t="str">
            <v>Edifícios públicos</v>
          </cell>
          <cell r="O2" t="str">
            <v>Esportes</v>
          </cell>
          <cell r="P2" t="str">
            <v>Estabelecimentos de ensino</v>
          </cell>
          <cell r="Q2" t="str">
            <v>Hotéis</v>
          </cell>
          <cell r="R2" t="str">
            <v>Restaurantes, bares, diversão</v>
          </cell>
          <cell r="S2" t="str">
            <v>Locais diversos</v>
          </cell>
        </row>
        <row r="3">
          <cell r="K3" t="str">
            <v>Supermercado de alto padrão</v>
          </cell>
          <cell r="L3" t="str">
            <v>Hall do edifício, recepção</v>
          </cell>
          <cell r="M3" t="str">
            <v>Bancos (área de público)</v>
          </cell>
          <cell r="N3" t="str">
            <v>Aeroporto - Saguão</v>
          </cell>
          <cell r="O3" t="str">
            <v>Boliche - Área de público</v>
          </cell>
          <cell r="P3" t="str">
            <v>Sala de aula</v>
          </cell>
          <cell r="Q3" t="str">
            <v>Apartamentode hóspedes</v>
          </cell>
          <cell r="R3" t="str">
            <v>Restaurante - Salão de refeições</v>
          </cell>
          <cell r="S3" t="str">
            <v>Câmara escura</v>
          </cell>
        </row>
        <row r="4">
          <cell r="K4" t="str">
            <v>Supermercado de padrão médio</v>
          </cell>
          <cell r="L4" t="str">
            <v>Escritórios de diretoria</v>
          </cell>
          <cell r="M4" t="str">
            <v>Caixa forte</v>
          </cell>
          <cell r="N4" t="str">
            <v>Aeroporto - Sala de Embarque</v>
          </cell>
          <cell r="O4" t="str">
            <v>Ginásio coberto (área de público)</v>
          </cell>
          <cell r="P4" t="str">
            <v>Laboratório de informática</v>
          </cell>
          <cell r="Q4" t="str">
            <v>Banheiro privativo</v>
          </cell>
          <cell r="R4" t="str">
            <v>Bar, salão de coquetel</v>
          </cell>
          <cell r="S4" t="str">
            <v>Copa</v>
          </cell>
        </row>
        <row r="5">
          <cell r="K5" t="str">
            <v>Supermercado popular</v>
          </cell>
          <cell r="L5" t="str">
            <v>Escritório com baixa densidade</v>
          </cell>
          <cell r="M5"/>
          <cell r="N5" t="str">
            <v>Biblioteca</v>
          </cell>
          <cell r="O5" t="str">
            <v>Ginásio coberto (quadra)</v>
          </cell>
          <cell r="P5" t="str">
            <v>Laboratório de ciências</v>
          </cell>
          <cell r="Q5" t="str">
            <v>Lobby, sala de estar</v>
          </cell>
          <cell r="R5" t="str">
            <v>Cafeteria, lanchonete, refeitório</v>
          </cell>
          <cell r="S5" t="str">
            <v>Sala exclusiva para fumar</v>
          </cell>
        </row>
        <row r="6">
          <cell r="K6" t="str">
            <v>Mall de centros comerciais</v>
          </cell>
          <cell r="L6" t="str">
            <v>Escritório com média densidade</v>
          </cell>
          <cell r="M6"/>
          <cell r="N6" t="str">
            <v>Museu, galeria de arte</v>
          </cell>
          <cell r="O6" t="str">
            <v>Piscina coberta</v>
          </cell>
          <cell r="P6"/>
          <cell r="Q6" t="str">
            <v>Sala de convenções</v>
          </cell>
          <cell r="R6" t="str">
            <v>Salão de jogos</v>
          </cell>
          <cell r="S6" t="str">
            <v>Sanitários públicos</v>
          </cell>
        </row>
        <row r="7">
          <cell r="K7" t="str">
            <v>Lojas</v>
          </cell>
          <cell r="L7" t="str">
            <v>Escritório com alta densidade</v>
          </cell>
          <cell r="M7"/>
          <cell r="N7" t="str">
            <v>Local de culto</v>
          </cell>
          <cell r="O7" t="str">
            <v>"Fitness center" - Aeróbica</v>
          </cell>
          <cell r="P7"/>
          <cell r="Q7" t="str">
            <v>Dormitório coletivo</v>
          </cell>
          <cell r="R7" t="str">
            <v>Discoteca, danceteria</v>
          </cell>
          <cell r="S7" t="str">
            <v>Vestiários coletivos</v>
          </cell>
        </row>
        <row r="8">
          <cell r="K8" t="str">
            <v>Salão de beleza e/ou barbearia</v>
          </cell>
          <cell r="L8" t="str">
            <v>Sala de reunião</v>
          </cell>
          <cell r="M8"/>
          <cell r="N8" t="str">
            <v>Legislativo - Plenário</v>
          </cell>
          <cell r="O8" t="str">
            <v>"Fitness center" - Aparelhos</v>
          </cell>
          <cell r="P8"/>
          <cell r="Q8"/>
          <cell r="R8" t="str">
            <v>Jogos eletrônicos</v>
          </cell>
          <cell r="S8"/>
        </row>
        <row r="9">
          <cell r="K9" t="str">
            <v>Animais de estimação</v>
          </cell>
          <cell r="L9" t="str">
            <v>CPD (exceto impressoras)</v>
          </cell>
          <cell r="M9"/>
          <cell r="N9" t="str">
            <v>Teatro, cinema, auditório - Lobby</v>
          </cell>
          <cell r="O9"/>
          <cell r="P9"/>
          <cell r="Q9"/>
          <cell r="R9"/>
          <cell r="S9"/>
        </row>
        <row r="10">
          <cell r="K10" t="str">
            <v>Lavanderia "self-service"</v>
          </cell>
          <cell r="L10" t="str">
            <v>Sala impressoras, copiadoras</v>
          </cell>
          <cell r="M10"/>
          <cell r="N10" t="str">
            <v>Teatro, cinema, auditório - Platéia</v>
          </cell>
          <cell r="O10"/>
          <cell r="P10"/>
          <cell r="Q10"/>
          <cell r="R10"/>
          <cell r="S10"/>
        </row>
        <row r="11">
          <cell r="K11"/>
          <cell r="L11" t="str">
            <v>Sala digitação</v>
          </cell>
          <cell r="M11"/>
          <cell r="N11" t="str">
            <v>Teatro, cinema, auditório - Palco</v>
          </cell>
          <cell r="O11"/>
          <cell r="P11"/>
          <cell r="Q11"/>
          <cell r="R11"/>
          <cell r="S11"/>
        </row>
        <row r="12">
          <cell r="K12"/>
          <cell r="L12" t="str">
            <v>Call center</v>
          </cell>
          <cell r="M12"/>
          <cell r="N12" t="str">
            <v>Tribunal - Sala de audiências</v>
          </cell>
          <cell r="O12"/>
          <cell r="P12"/>
          <cell r="Q12"/>
          <cell r="R12"/>
          <cell r="S12"/>
        </row>
        <row r="14">
          <cell r="K14">
            <v>8</v>
          </cell>
          <cell r="L14">
            <v>10</v>
          </cell>
          <cell r="M14">
            <v>2</v>
          </cell>
          <cell r="N14">
            <v>10</v>
          </cell>
          <cell r="O14">
            <v>6</v>
          </cell>
          <cell r="P14">
            <v>3</v>
          </cell>
          <cell r="Q14">
            <v>5</v>
          </cell>
          <cell r="R14">
            <v>6</v>
          </cell>
          <cell r="S14">
            <v>5</v>
          </cell>
        </row>
      </sheetData>
      <sheetData sheetId="2">
        <row r="1">
          <cell r="B1" t="str">
            <v>Ferrous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heus Pacheco Herzeberg Gonçalves" id="{32FD3FAB-FF4D-41D1-B0D3-4EDF2D628422}" userId="1c48087fecbb819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6A9CE-1B53-4360-8D50-917E2075425A}" name="Tabela1" displayName="Tabela1" ref="A1:C7" totalsRowShown="0">
  <autoFilter ref="A1:C7" xr:uid="{C506A9CE-1B53-4360-8D50-917E2075425A}"/>
  <tableColumns count="3">
    <tableColumn id="1" xr3:uid="{93E92B82-2B0F-4995-A9A7-74BB1090AD54}" name="TRANSPORTADORA"/>
    <tableColumn id="2" xr3:uid="{034C2FC9-2B48-42EF-82B2-83F68DEA5B74}" name="TELEFONE"/>
    <tableColumn id="3" xr3:uid="{15C8B792-C566-4B56-AE7B-94FB16730696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7" dT="2022-03-24T04:00:56.79" personId="{32FD3FAB-FF4D-41D1-B0D3-4EDF2D628422}" id="{EF27F7E7-BCD1-4BB4-B165-665A500AE220}">
    <text>Preço não encontrado, valor estimado</text>
  </threadedComment>
  <threadedComment ref="D58" dT="2022-03-24T04:01:09.23" personId="{32FD3FAB-FF4D-41D1-B0D3-4EDF2D628422}" id="{6A4FB031-61AA-4F74-A294-1C16AAA55063}">
    <text>Preço não encontrado, valor estimado.</text>
  </threadedComment>
  <threadedComment ref="A130" dT="2022-12-20T02:44:58.81" personId="{32FD3FAB-FF4D-41D1-B0D3-4EDF2D628422}" id="{F83AE638-741C-4275-9BA1-B4F0D8C76A21}">
    <text>Limit Load, pressão 40 mmCA, 15CV, 220V/380V, acionamento direto. 13/10/2022, Aeroville</text>
  </threadedComment>
  <threadedComment ref="A132" dT="2022-12-20T02:45:16.49" personId="{32FD3FAB-FF4D-41D1-B0D3-4EDF2D628422}" id="{E83A0475-4535-45BE-9733-0F7BF8A646B0}">
    <text>Sicflux FH 250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cs@camillodossantos.com.br" TargetMode="External"/><Relationship Id="rId3" Type="http://schemas.openxmlformats.org/officeDocument/2006/relationships/hyperlink" Target="mailto:comercial@paethus.com.br" TargetMode="External"/><Relationship Id="rId7" Type="http://schemas.openxmlformats.org/officeDocument/2006/relationships/hyperlink" Target="mailto:bhz@lfgex.com" TargetMode="External"/><Relationship Id="rId2" Type="http://schemas.openxmlformats.org/officeDocument/2006/relationships/hyperlink" Target="callto:+551120855200" TargetMode="External"/><Relationship Id="rId1" Type="http://schemas.openxmlformats.org/officeDocument/2006/relationships/hyperlink" Target="tel:+553133692000" TargetMode="External"/><Relationship Id="rId6" Type="http://schemas.openxmlformats.org/officeDocument/2006/relationships/hyperlink" Target="mailto:atendimento@trmlogistica.com.br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google.com/search?q=trm+transportes&amp;oq=trm+transportes&amp;gs_lcrp=EgZjaHJvbWUyCQgAEEUYORiABDIHCAEQABiABDINCAIQLhivARjHARiABDIHCAMQABiABDIHCAQQABiABDIHCAUQABiABDIHCAYQABiABDIHCAcQABiABDIHCAgQABiABDINCAkQLhivARjHARiABNIBCDI3ODZqMGo3qAIAsAIA&amp;sourceid=chrome&amp;ie=UTF-8&amp;lqi=Cg90cm0gdHJhbnNwb3J0ZXNImNHo54eugIAIWhkQABABGAAYASIPdHJtIHRyYW5zcG9ydGVzkgEddHJhbnNwb3J0YXRpb25fZXNjb3J0X3NlcnZpY2WqAVcKCC9tLzA3YnN5EAEqEyIPdHJtIHRyYW5zcG9ydGVzKAwyHxABIhtiaJoK8SSfD0bj2VGCNzUxd0WdGByAZrn1bsEyExACIg90cm0gdHJhbnNwb3J0ZXM" TargetMode="External"/><Relationship Id="rId10" Type="http://schemas.openxmlformats.org/officeDocument/2006/relationships/hyperlink" Target="mailto:expedicao.formiga@vcbcargas.com.br" TargetMode="External"/><Relationship Id="rId4" Type="http://schemas.openxmlformats.org/officeDocument/2006/relationships/hyperlink" Target="mailto:contato@girocertoencomendas.com.br" TargetMode="External"/><Relationship Id="rId9" Type="http://schemas.openxmlformats.org/officeDocument/2006/relationships/hyperlink" Target="https://api.whatsapp.com/send?phone=5532984193868&amp;text=Ol%C3%A1,%20estou%20entrando%20em%20contato%20por%20meio%20do%20Portal%20Transvias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BC72-CF08-421E-BE19-EF3C41E021A1}">
  <sheetPr codeName="Planilha24"/>
  <dimension ref="A1:W666"/>
  <sheetViews>
    <sheetView tabSelected="1" topLeftCell="A156" zoomScale="90" zoomScaleNormal="90" workbookViewId="0">
      <selection activeCell="D162" sqref="D162"/>
    </sheetView>
  </sheetViews>
  <sheetFormatPr defaultRowHeight="14.4" x14ac:dyDescent="0.3"/>
  <cols>
    <col min="1" max="1" width="23.6640625" customWidth="1"/>
    <col min="2" max="2" width="19.88671875" style="1" customWidth="1"/>
    <col min="3" max="3" width="15.44140625" style="6" customWidth="1"/>
    <col min="4" max="4" width="15.88671875" style="6" customWidth="1"/>
    <col min="5" max="5" width="19.44140625" style="6" customWidth="1"/>
    <col min="6" max="6" width="24.109375" style="6" customWidth="1"/>
    <col min="7" max="7" width="28.88671875" style="1" customWidth="1"/>
    <col min="8" max="8" width="31.44140625" style="1" customWidth="1"/>
    <col min="9" max="9" width="23.109375" style="1" customWidth="1"/>
    <col min="10" max="10" width="40.44140625" style="1" customWidth="1"/>
    <col min="11" max="11" width="27.33203125" style="1" customWidth="1"/>
    <col min="12" max="12" width="25.109375" style="1" customWidth="1"/>
    <col min="13" max="13" width="32.6640625" style="1" customWidth="1"/>
    <col min="14" max="14" width="20.109375" style="1" customWidth="1"/>
    <col min="15" max="15" width="18" style="9" customWidth="1"/>
    <col min="16" max="16" width="14.5546875" style="1" customWidth="1"/>
    <col min="17" max="18" width="8.88671875" style="1" customWidth="1"/>
    <col min="19" max="19" width="12.33203125" style="1" customWidth="1"/>
    <col min="20" max="20" width="18.88671875" customWidth="1"/>
    <col min="21" max="21" width="23.109375" customWidth="1"/>
    <col min="22" max="22" width="11" customWidth="1"/>
    <col min="23" max="23" width="11.5546875" customWidth="1"/>
  </cols>
  <sheetData>
    <row r="1" spans="1:23" x14ac:dyDescent="0.3">
      <c r="B1" s="37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23" x14ac:dyDescent="0.3"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15" x14ac:dyDescent="0.35">
      <c r="A3" s="13" t="s">
        <v>0</v>
      </c>
      <c r="B3" s="5" t="s">
        <v>22</v>
      </c>
      <c r="C3" s="6">
        <f>14750*1.3</f>
        <v>19175</v>
      </c>
      <c r="D3" s="7">
        <v>5500</v>
      </c>
      <c r="E3" s="6">
        <v>400</v>
      </c>
      <c r="F3" s="6">
        <v>800</v>
      </c>
      <c r="G3" s="6">
        <v>1860</v>
      </c>
      <c r="H3" s="6">
        <f>F3+2400</f>
        <v>3200</v>
      </c>
      <c r="I3" s="6">
        <v>4000</v>
      </c>
      <c r="J3" s="6">
        <f>I3+D3</f>
        <v>9500</v>
      </c>
      <c r="K3" s="6">
        <v>1400</v>
      </c>
      <c r="L3" s="6">
        <v>1100</v>
      </c>
      <c r="M3" s="6">
        <f>1200+900</f>
        <v>2100</v>
      </c>
      <c r="N3" s="6">
        <v>4500</v>
      </c>
      <c r="O3" s="7">
        <f>(C3*1.5)-C3</f>
        <v>9587.5</v>
      </c>
      <c r="P3" s="8" t="s">
        <v>23</v>
      </c>
      <c r="Q3" s="8" t="s">
        <v>24</v>
      </c>
      <c r="R3" s="8" t="s">
        <v>25</v>
      </c>
      <c r="S3" s="1" t="s">
        <v>26</v>
      </c>
      <c r="T3" s="8" t="s">
        <v>27</v>
      </c>
      <c r="U3" s="32"/>
      <c r="V3" t="s">
        <v>28</v>
      </c>
      <c r="W3" s="32" t="s">
        <v>29</v>
      </c>
    </row>
    <row r="4" spans="1:23" ht="15" x14ac:dyDescent="0.35">
      <c r="A4" s="13" t="s">
        <v>0</v>
      </c>
      <c r="B4" s="5" t="s">
        <v>30</v>
      </c>
      <c r="C4" s="6">
        <f>20100*1.1</f>
        <v>22110</v>
      </c>
      <c r="D4" s="7">
        <v>5500</v>
      </c>
      <c r="E4" s="6">
        <v>400</v>
      </c>
      <c r="F4" s="6">
        <v>800</v>
      </c>
      <c r="G4" s="6">
        <v>1860</v>
      </c>
      <c r="H4" s="6">
        <f t="shared" ref="H4:H14" si="0">F4+2400</f>
        <v>3200</v>
      </c>
      <c r="I4" s="6">
        <v>4000</v>
      </c>
      <c r="J4" s="6">
        <f t="shared" ref="J4:J14" si="1">I4+D4</f>
        <v>9500</v>
      </c>
      <c r="K4" s="6">
        <v>1400</v>
      </c>
      <c r="L4" s="6">
        <v>1100</v>
      </c>
      <c r="M4" s="6">
        <f t="shared" ref="M4:M8" si="2">1200+900</f>
        <v>2100</v>
      </c>
      <c r="N4" s="6">
        <v>4500</v>
      </c>
      <c r="O4" s="7">
        <f t="shared" ref="O4:O14" si="3">(C4*1.5)-C4</f>
        <v>11055</v>
      </c>
      <c r="P4" s="8" t="s">
        <v>23</v>
      </c>
      <c r="Q4" s="8" t="s">
        <v>24</v>
      </c>
      <c r="R4" s="8" t="s">
        <v>25</v>
      </c>
      <c r="S4" s="1" t="s">
        <v>26</v>
      </c>
      <c r="T4" s="8" t="s">
        <v>27</v>
      </c>
      <c r="U4" s="32"/>
      <c r="V4" t="s">
        <v>28</v>
      </c>
      <c r="W4" s="32" t="s">
        <v>29</v>
      </c>
    </row>
    <row r="5" spans="1:23" ht="15" x14ac:dyDescent="0.35">
      <c r="A5" s="13" t="s">
        <v>0</v>
      </c>
      <c r="B5" s="5" t="s">
        <v>31</v>
      </c>
      <c r="C5" s="6">
        <f>26900*1.22</f>
        <v>32818</v>
      </c>
      <c r="D5" s="7">
        <v>5500</v>
      </c>
      <c r="E5" s="6">
        <v>400</v>
      </c>
      <c r="F5" s="6">
        <v>800</v>
      </c>
      <c r="G5" s="6">
        <v>1860</v>
      </c>
      <c r="H5" s="6">
        <f t="shared" si="0"/>
        <v>3200</v>
      </c>
      <c r="I5" s="6">
        <v>4000</v>
      </c>
      <c r="J5" s="6">
        <f t="shared" si="1"/>
        <v>9500</v>
      </c>
      <c r="K5" s="6">
        <v>1400</v>
      </c>
      <c r="L5" s="6">
        <v>1100</v>
      </c>
      <c r="M5" s="6">
        <f t="shared" si="2"/>
        <v>2100</v>
      </c>
      <c r="N5" s="6">
        <v>4500</v>
      </c>
      <c r="O5" s="7">
        <f t="shared" si="3"/>
        <v>16409</v>
      </c>
      <c r="P5" s="8" t="s">
        <v>23</v>
      </c>
      <c r="Q5" s="8" t="s">
        <v>24</v>
      </c>
      <c r="R5" s="8" t="s">
        <v>25</v>
      </c>
      <c r="S5" s="1" t="s">
        <v>26</v>
      </c>
      <c r="T5" s="8" t="s">
        <v>27</v>
      </c>
      <c r="U5" s="32"/>
      <c r="V5" t="s">
        <v>28</v>
      </c>
      <c r="W5" s="32" t="s">
        <v>29</v>
      </c>
    </row>
    <row r="6" spans="1:23" ht="15" x14ac:dyDescent="0.35">
      <c r="A6" s="13" t="s">
        <v>0</v>
      </c>
      <c r="B6" s="5" t="s">
        <v>32</v>
      </c>
      <c r="C6" s="6">
        <f>32100*1.07</f>
        <v>34347</v>
      </c>
      <c r="D6" s="7">
        <v>5500</v>
      </c>
      <c r="E6" s="6">
        <v>400</v>
      </c>
      <c r="F6" s="6">
        <v>800</v>
      </c>
      <c r="G6" s="6">
        <v>1860</v>
      </c>
      <c r="H6" s="6">
        <f t="shared" si="0"/>
        <v>3200</v>
      </c>
      <c r="I6" s="6">
        <v>4000</v>
      </c>
      <c r="J6" s="6">
        <f t="shared" si="1"/>
        <v>9500</v>
      </c>
      <c r="K6" s="6">
        <v>1400</v>
      </c>
      <c r="L6" s="6">
        <v>1100</v>
      </c>
      <c r="M6" s="6">
        <f t="shared" si="2"/>
        <v>2100</v>
      </c>
      <c r="N6" s="6">
        <v>4500</v>
      </c>
      <c r="O6" s="7">
        <f t="shared" si="3"/>
        <v>17173.5</v>
      </c>
      <c r="P6" s="8" t="s">
        <v>23</v>
      </c>
      <c r="Q6" s="8" t="s">
        <v>24</v>
      </c>
      <c r="R6" s="8" t="s">
        <v>25</v>
      </c>
      <c r="S6" s="1" t="s">
        <v>26</v>
      </c>
      <c r="T6" s="8" t="s">
        <v>27</v>
      </c>
      <c r="U6" s="32"/>
      <c r="V6" t="s">
        <v>28</v>
      </c>
      <c r="W6" s="32" t="s">
        <v>29</v>
      </c>
    </row>
    <row r="7" spans="1:23" ht="15" x14ac:dyDescent="0.35">
      <c r="A7" s="13" t="s">
        <v>0</v>
      </c>
      <c r="B7" s="5" t="s">
        <v>33</v>
      </c>
      <c r="C7" s="6">
        <f>34500*1.07</f>
        <v>36915</v>
      </c>
      <c r="D7" s="7">
        <v>5500</v>
      </c>
      <c r="E7" s="6">
        <v>400</v>
      </c>
      <c r="F7" s="6">
        <v>800</v>
      </c>
      <c r="G7" s="6">
        <v>1860</v>
      </c>
      <c r="H7" s="6">
        <f t="shared" si="0"/>
        <v>3200</v>
      </c>
      <c r="I7" s="6">
        <v>4000</v>
      </c>
      <c r="J7" s="6">
        <f t="shared" si="1"/>
        <v>9500</v>
      </c>
      <c r="K7" s="6">
        <v>1400</v>
      </c>
      <c r="L7" s="6">
        <v>1100</v>
      </c>
      <c r="M7" s="6">
        <f>1200+900</f>
        <v>2100</v>
      </c>
      <c r="N7" s="6">
        <v>4500</v>
      </c>
      <c r="O7" s="7">
        <f t="shared" si="3"/>
        <v>18457.5</v>
      </c>
      <c r="P7" s="8" t="s">
        <v>23</v>
      </c>
      <c r="Q7" s="8" t="s">
        <v>24</v>
      </c>
      <c r="R7" s="8" t="s">
        <v>25</v>
      </c>
      <c r="S7" s="1" t="s">
        <v>26</v>
      </c>
      <c r="T7" s="8" t="s">
        <v>27</v>
      </c>
      <c r="U7" s="32"/>
      <c r="V7" t="s">
        <v>28</v>
      </c>
      <c r="W7" s="32" t="s">
        <v>29</v>
      </c>
    </row>
    <row r="8" spans="1:23" ht="15" x14ac:dyDescent="0.35">
      <c r="A8" s="13" t="s">
        <v>0</v>
      </c>
      <c r="B8" s="9" t="s">
        <v>34</v>
      </c>
      <c r="C8" s="6">
        <f>43300*1.07</f>
        <v>46331</v>
      </c>
      <c r="D8" s="7">
        <v>5500</v>
      </c>
      <c r="E8" s="6">
        <v>400</v>
      </c>
      <c r="F8" s="6">
        <v>800</v>
      </c>
      <c r="G8" s="6">
        <v>1860</v>
      </c>
      <c r="H8" s="6">
        <f t="shared" si="0"/>
        <v>3200</v>
      </c>
      <c r="I8" s="6">
        <v>4000</v>
      </c>
      <c r="J8" s="6">
        <f t="shared" si="1"/>
        <v>9500</v>
      </c>
      <c r="K8" s="6">
        <v>1400</v>
      </c>
      <c r="L8" s="6">
        <v>1100</v>
      </c>
      <c r="M8" s="6">
        <f t="shared" si="2"/>
        <v>2100</v>
      </c>
      <c r="N8" s="6">
        <v>4500</v>
      </c>
      <c r="O8" s="7">
        <f t="shared" si="3"/>
        <v>23165.5</v>
      </c>
      <c r="P8" s="8" t="s">
        <v>23</v>
      </c>
      <c r="Q8" s="8" t="s">
        <v>24</v>
      </c>
      <c r="R8" s="8" t="s">
        <v>25</v>
      </c>
      <c r="S8" s="1" t="s">
        <v>26</v>
      </c>
      <c r="T8" s="8" t="s">
        <v>27</v>
      </c>
      <c r="U8" s="32"/>
      <c r="V8" t="s">
        <v>28</v>
      </c>
      <c r="W8" s="32" t="s">
        <v>29</v>
      </c>
    </row>
    <row r="9" spans="1:23" ht="15" x14ac:dyDescent="0.35">
      <c r="A9" s="13" t="s">
        <v>0</v>
      </c>
      <c r="B9" s="9" t="s">
        <v>35</v>
      </c>
      <c r="C9" s="6">
        <f>62660*1.07</f>
        <v>67046.2</v>
      </c>
      <c r="D9" s="7">
        <v>5500</v>
      </c>
      <c r="E9" s="6">
        <v>400</v>
      </c>
      <c r="F9" s="6">
        <v>800</v>
      </c>
      <c r="G9" s="6">
        <v>1860</v>
      </c>
      <c r="H9" s="6">
        <f t="shared" si="0"/>
        <v>3200</v>
      </c>
      <c r="I9" s="6">
        <v>4000</v>
      </c>
      <c r="J9" s="6">
        <f t="shared" si="1"/>
        <v>9500</v>
      </c>
      <c r="K9" s="6">
        <v>1400</v>
      </c>
      <c r="L9" s="6">
        <v>1100</v>
      </c>
      <c r="M9" s="6">
        <f>2400+900</f>
        <v>3300</v>
      </c>
      <c r="N9" s="6">
        <f>5500</f>
        <v>5500</v>
      </c>
      <c r="O9" s="7">
        <f t="shared" si="3"/>
        <v>33523.099999999991</v>
      </c>
      <c r="P9" s="8" t="s">
        <v>23</v>
      </c>
      <c r="Q9" s="8" t="s">
        <v>24</v>
      </c>
      <c r="R9" s="8" t="s">
        <v>25</v>
      </c>
      <c r="S9" s="1" t="s">
        <v>26</v>
      </c>
      <c r="T9" s="8" t="s">
        <v>27</v>
      </c>
      <c r="V9" t="s">
        <v>28</v>
      </c>
      <c r="W9" s="32" t="s">
        <v>36</v>
      </c>
    </row>
    <row r="10" spans="1:23" ht="15" x14ac:dyDescent="0.35">
      <c r="A10" s="13" t="s">
        <v>0</v>
      </c>
      <c r="B10" s="9" t="s">
        <v>37</v>
      </c>
      <c r="C10" s="6">
        <f>72900*1.07</f>
        <v>78003</v>
      </c>
      <c r="D10" s="7">
        <v>5500</v>
      </c>
      <c r="E10" s="6">
        <v>400</v>
      </c>
      <c r="F10" s="6">
        <v>800</v>
      </c>
      <c r="G10" s="6">
        <v>1860</v>
      </c>
      <c r="H10" s="6">
        <f t="shared" si="0"/>
        <v>3200</v>
      </c>
      <c r="I10" s="6">
        <v>4000</v>
      </c>
      <c r="J10" s="6">
        <f t="shared" si="1"/>
        <v>9500</v>
      </c>
      <c r="K10" s="6">
        <v>1400</v>
      </c>
      <c r="L10" s="6">
        <v>1100</v>
      </c>
      <c r="M10" s="6">
        <f t="shared" ref="M10:M11" si="4">2400+900</f>
        <v>3300</v>
      </c>
      <c r="N10" s="6">
        <f>5500</f>
        <v>5500</v>
      </c>
      <c r="O10" s="7">
        <f t="shared" si="3"/>
        <v>39001.5</v>
      </c>
      <c r="P10" s="8" t="s">
        <v>23</v>
      </c>
      <c r="Q10" s="8" t="s">
        <v>24</v>
      </c>
      <c r="R10" s="8" t="s">
        <v>25</v>
      </c>
      <c r="S10" s="1" t="s">
        <v>26</v>
      </c>
      <c r="T10" s="8" t="s">
        <v>27</v>
      </c>
      <c r="V10" t="s">
        <v>28</v>
      </c>
      <c r="W10" s="32" t="s">
        <v>36</v>
      </c>
    </row>
    <row r="11" spans="1:23" ht="15" x14ac:dyDescent="0.35">
      <c r="A11" s="13" t="s">
        <v>0</v>
      </c>
      <c r="B11" s="9" t="s">
        <v>38</v>
      </c>
      <c r="C11" s="6">
        <f>95080*1.06</f>
        <v>100784.8</v>
      </c>
      <c r="D11" s="7">
        <v>0</v>
      </c>
      <c r="E11" s="6">
        <v>400</v>
      </c>
      <c r="F11" s="6">
        <v>800</v>
      </c>
      <c r="G11" s="6">
        <v>1860</v>
      </c>
      <c r="H11" s="6">
        <f t="shared" si="0"/>
        <v>3200</v>
      </c>
      <c r="I11" s="6">
        <v>4000</v>
      </c>
      <c r="J11" s="6">
        <f t="shared" si="1"/>
        <v>4000</v>
      </c>
      <c r="K11" s="6">
        <v>1400</v>
      </c>
      <c r="L11" s="6">
        <v>1100</v>
      </c>
      <c r="M11" s="6">
        <f t="shared" si="4"/>
        <v>3300</v>
      </c>
      <c r="N11" s="6">
        <f>5500</f>
        <v>5500</v>
      </c>
      <c r="O11" s="7">
        <f t="shared" si="3"/>
        <v>50392.400000000009</v>
      </c>
      <c r="P11" s="8" t="s">
        <v>23</v>
      </c>
      <c r="Q11" s="8" t="s">
        <v>24</v>
      </c>
      <c r="R11" s="8" t="s">
        <v>25</v>
      </c>
      <c r="S11" s="1" t="s">
        <v>26</v>
      </c>
      <c r="T11" s="8" t="s">
        <v>27</v>
      </c>
      <c r="V11" t="s">
        <v>28</v>
      </c>
      <c r="W11" s="32" t="s">
        <v>36</v>
      </c>
    </row>
    <row r="12" spans="1:23" ht="15" x14ac:dyDescent="0.35">
      <c r="A12" s="13" t="s">
        <v>0</v>
      </c>
      <c r="B12" s="9" t="s">
        <v>39</v>
      </c>
      <c r="C12" s="6">
        <f>116450*1.05</f>
        <v>122272.5</v>
      </c>
      <c r="D12" s="7">
        <v>0</v>
      </c>
      <c r="E12" s="6">
        <v>400</v>
      </c>
      <c r="F12" s="6">
        <v>800</v>
      </c>
      <c r="G12" s="6">
        <v>1860</v>
      </c>
      <c r="H12" s="6">
        <f t="shared" si="0"/>
        <v>3200</v>
      </c>
      <c r="I12" s="6">
        <f>8000</f>
        <v>8000</v>
      </c>
      <c r="J12" s="6">
        <f t="shared" si="1"/>
        <v>8000</v>
      </c>
      <c r="K12" s="6">
        <v>1400</v>
      </c>
      <c r="L12" s="6">
        <v>1100</v>
      </c>
      <c r="M12" s="6">
        <f>3600+900</f>
        <v>4500</v>
      </c>
      <c r="N12" s="6">
        <v>6500</v>
      </c>
      <c r="O12" s="7">
        <f t="shared" si="3"/>
        <v>61136.25</v>
      </c>
      <c r="P12" s="8" t="s">
        <v>23</v>
      </c>
      <c r="Q12" s="8" t="s">
        <v>24</v>
      </c>
      <c r="R12" s="8" t="s">
        <v>25</v>
      </c>
      <c r="S12" s="1" t="s">
        <v>26</v>
      </c>
      <c r="T12" s="8" t="s">
        <v>27</v>
      </c>
      <c r="V12" t="s">
        <v>28</v>
      </c>
      <c r="W12" s="32" t="s">
        <v>36</v>
      </c>
    </row>
    <row r="13" spans="1:23" ht="15" x14ac:dyDescent="0.35">
      <c r="A13" s="13" t="s">
        <v>0</v>
      </c>
      <c r="B13" s="9" t="s">
        <v>40</v>
      </c>
      <c r="C13" s="6">
        <f>139550*1.04</f>
        <v>145132</v>
      </c>
      <c r="D13" s="7">
        <v>0</v>
      </c>
      <c r="E13" s="6">
        <v>400</v>
      </c>
      <c r="F13" s="6">
        <v>800</v>
      </c>
      <c r="G13" s="6">
        <v>1860</v>
      </c>
      <c r="H13" s="6">
        <f t="shared" si="0"/>
        <v>3200</v>
      </c>
      <c r="I13" s="6">
        <f>8000</f>
        <v>8000</v>
      </c>
      <c r="J13" s="6">
        <f t="shared" si="1"/>
        <v>8000</v>
      </c>
      <c r="K13" s="6">
        <v>1400</v>
      </c>
      <c r="L13" s="6">
        <v>1100</v>
      </c>
      <c r="M13" s="6">
        <f t="shared" ref="M13:M14" si="5">3600+900</f>
        <v>4500</v>
      </c>
      <c r="N13" s="6">
        <v>6500</v>
      </c>
      <c r="O13" s="7">
        <f t="shared" si="3"/>
        <v>72566</v>
      </c>
      <c r="P13" s="8" t="s">
        <v>23</v>
      </c>
      <c r="Q13" s="8" t="s">
        <v>24</v>
      </c>
      <c r="R13" s="8" t="s">
        <v>25</v>
      </c>
      <c r="S13" s="1" t="s">
        <v>26</v>
      </c>
      <c r="T13" s="8" t="s">
        <v>27</v>
      </c>
      <c r="V13" t="s">
        <v>28</v>
      </c>
      <c r="W13" s="32" t="s">
        <v>36</v>
      </c>
    </row>
    <row r="14" spans="1:23" ht="15" x14ac:dyDescent="0.35">
      <c r="A14" s="13" t="s">
        <v>0</v>
      </c>
      <c r="B14" s="9" t="s">
        <v>41</v>
      </c>
      <c r="C14" s="10">
        <f>141800*1.04</f>
        <v>147472</v>
      </c>
      <c r="D14" s="7">
        <v>0</v>
      </c>
      <c r="E14" s="6">
        <v>400</v>
      </c>
      <c r="F14" s="6">
        <v>800</v>
      </c>
      <c r="G14" s="6">
        <v>1860</v>
      </c>
      <c r="H14" s="6">
        <f t="shared" si="0"/>
        <v>3200</v>
      </c>
      <c r="I14" s="6">
        <f>8000</f>
        <v>8000</v>
      </c>
      <c r="J14" s="6">
        <f t="shared" si="1"/>
        <v>8000</v>
      </c>
      <c r="K14" s="6">
        <v>1400</v>
      </c>
      <c r="L14" s="6">
        <v>1100</v>
      </c>
      <c r="M14" s="6">
        <f t="shared" si="5"/>
        <v>4500</v>
      </c>
      <c r="N14" s="6">
        <v>6500</v>
      </c>
      <c r="O14" s="7">
        <f t="shared" si="3"/>
        <v>73736</v>
      </c>
      <c r="P14" s="8" t="s">
        <v>23</v>
      </c>
      <c r="Q14" s="8" t="s">
        <v>24</v>
      </c>
      <c r="R14" s="8" t="s">
        <v>25</v>
      </c>
      <c r="S14" s="1" t="s">
        <v>26</v>
      </c>
      <c r="T14" s="8" t="s">
        <v>27</v>
      </c>
      <c r="V14" t="s">
        <v>28</v>
      </c>
      <c r="W14" s="32" t="s">
        <v>36</v>
      </c>
    </row>
    <row r="15" spans="1:23" x14ac:dyDescent="0.3">
      <c r="P15" s="8"/>
      <c r="Q15" s="8"/>
      <c r="R15" s="8"/>
    </row>
    <row r="16" spans="1:23" x14ac:dyDescent="0.3">
      <c r="C16" s="2" t="s">
        <v>1</v>
      </c>
      <c r="D16" s="2" t="s">
        <v>2</v>
      </c>
      <c r="E16" s="2" t="s">
        <v>3</v>
      </c>
      <c r="F16" s="2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  <c r="N16" s="3" t="s">
        <v>12</v>
      </c>
      <c r="O16" s="3" t="s">
        <v>13</v>
      </c>
      <c r="P16" s="4" t="s">
        <v>14</v>
      </c>
      <c r="Q16" s="4" t="s">
        <v>15</v>
      </c>
      <c r="R16" s="4" t="s">
        <v>16</v>
      </c>
      <c r="S16" s="4" t="s">
        <v>17</v>
      </c>
      <c r="T16" s="4" t="s">
        <v>18</v>
      </c>
      <c r="U16" s="4" t="s">
        <v>19</v>
      </c>
      <c r="V16" s="4" t="s">
        <v>20</v>
      </c>
      <c r="W16" s="4" t="s">
        <v>21</v>
      </c>
    </row>
    <row r="17" spans="1:23" ht="15" x14ac:dyDescent="0.35">
      <c r="A17" s="13" t="s">
        <v>42</v>
      </c>
      <c r="B17" s="5" t="s">
        <v>22</v>
      </c>
      <c r="C17" s="11"/>
      <c r="P17" s="8"/>
      <c r="Q17" s="8"/>
      <c r="R17" s="8"/>
      <c r="V17" t="s">
        <v>28</v>
      </c>
      <c r="W17" s="32" t="s">
        <v>43</v>
      </c>
    </row>
    <row r="18" spans="1:23" ht="15" x14ac:dyDescent="0.35">
      <c r="A18" s="13" t="s">
        <v>42</v>
      </c>
      <c r="B18" s="5" t="s">
        <v>30</v>
      </c>
      <c r="C18" s="12">
        <v>7900</v>
      </c>
      <c r="P18" s="8"/>
      <c r="Q18" s="8"/>
      <c r="R18" s="8"/>
      <c r="V18" t="s">
        <v>28</v>
      </c>
      <c r="W18" s="32" t="s">
        <v>43</v>
      </c>
    </row>
    <row r="19" spans="1:23" ht="15" x14ac:dyDescent="0.35">
      <c r="A19" s="13" t="s">
        <v>42</v>
      </c>
      <c r="B19" s="5" t="s">
        <v>31</v>
      </c>
      <c r="C19" s="12">
        <v>8945</v>
      </c>
      <c r="P19" s="8"/>
      <c r="Q19" s="8"/>
      <c r="R19" s="8"/>
      <c r="V19" t="s">
        <v>28</v>
      </c>
      <c r="W19" s="32" t="s">
        <v>43</v>
      </c>
    </row>
    <row r="20" spans="1:23" ht="15" x14ac:dyDescent="0.35">
      <c r="A20" s="13" t="s">
        <v>42</v>
      </c>
      <c r="B20" s="5" t="s">
        <v>32</v>
      </c>
      <c r="C20" s="11" t="s">
        <v>44</v>
      </c>
      <c r="P20" s="8"/>
      <c r="Q20" s="8"/>
      <c r="R20" s="8"/>
      <c r="V20" t="s">
        <v>28</v>
      </c>
      <c r="W20" s="32" t="s">
        <v>43</v>
      </c>
    </row>
    <row r="21" spans="1:23" ht="15" x14ac:dyDescent="0.35">
      <c r="A21" s="13" t="s">
        <v>42</v>
      </c>
      <c r="B21" s="5" t="s">
        <v>33</v>
      </c>
      <c r="C21" s="12">
        <v>11480</v>
      </c>
      <c r="P21" s="8"/>
      <c r="Q21" s="8"/>
      <c r="R21" s="8"/>
      <c r="V21" t="s">
        <v>28</v>
      </c>
      <c r="W21" s="32" t="s">
        <v>43</v>
      </c>
    </row>
    <row r="22" spans="1:23" ht="15" x14ac:dyDescent="0.35">
      <c r="A22" s="13" t="s">
        <v>42</v>
      </c>
      <c r="B22" s="9" t="s">
        <v>34</v>
      </c>
      <c r="C22" s="12">
        <v>14200</v>
      </c>
      <c r="P22" s="8"/>
      <c r="Q22" s="8"/>
      <c r="R22" s="8"/>
      <c r="V22" t="s">
        <v>28</v>
      </c>
      <c r="W22" s="32" t="s">
        <v>43</v>
      </c>
    </row>
    <row r="23" spans="1:23" ht="15" x14ac:dyDescent="0.35">
      <c r="A23" s="13" t="s">
        <v>42</v>
      </c>
      <c r="B23" s="9" t="s">
        <v>35</v>
      </c>
      <c r="C23" s="12">
        <v>20100</v>
      </c>
      <c r="P23" s="8"/>
      <c r="Q23" s="8"/>
      <c r="R23" s="8"/>
      <c r="V23" t="s">
        <v>28</v>
      </c>
      <c r="W23" s="32" t="s">
        <v>43</v>
      </c>
    </row>
    <row r="24" spans="1:23" ht="15" x14ac:dyDescent="0.35">
      <c r="A24" s="13" t="s">
        <v>42</v>
      </c>
      <c r="B24" s="9" t="s">
        <v>37</v>
      </c>
      <c r="C24" s="12">
        <v>22700</v>
      </c>
      <c r="P24" s="8"/>
      <c r="Q24" s="8"/>
      <c r="R24" s="8"/>
      <c r="V24" t="s">
        <v>28</v>
      </c>
      <c r="W24" s="32" t="s">
        <v>36</v>
      </c>
    </row>
    <row r="25" spans="1:23" ht="15" x14ac:dyDescent="0.35">
      <c r="A25" s="13" t="s">
        <v>42</v>
      </c>
      <c r="B25" s="9" t="s">
        <v>38</v>
      </c>
      <c r="C25" s="12">
        <v>25200</v>
      </c>
      <c r="P25" s="8"/>
      <c r="Q25" s="8"/>
      <c r="R25" s="8"/>
      <c r="V25" t="s">
        <v>28</v>
      </c>
      <c r="W25" s="32" t="s">
        <v>36</v>
      </c>
    </row>
    <row r="26" spans="1:23" ht="15" x14ac:dyDescent="0.35">
      <c r="A26" s="13" t="s">
        <v>42</v>
      </c>
      <c r="B26" s="9" t="s">
        <v>39</v>
      </c>
      <c r="C26" s="12">
        <v>38900</v>
      </c>
      <c r="P26" s="8"/>
      <c r="Q26" s="8"/>
      <c r="R26" s="8"/>
      <c r="V26" t="s">
        <v>28</v>
      </c>
      <c r="W26" s="32" t="s">
        <v>36</v>
      </c>
    </row>
    <row r="27" spans="1:23" ht="15" x14ac:dyDescent="0.35">
      <c r="A27" s="13" t="s">
        <v>42</v>
      </c>
      <c r="B27" s="9" t="s">
        <v>40</v>
      </c>
      <c r="C27" s="12">
        <v>45900</v>
      </c>
      <c r="P27" s="8"/>
      <c r="Q27" s="8"/>
      <c r="R27" s="8"/>
      <c r="V27" t="s">
        <v>28</v>
      </c>
      <c r="W27" s="32" t="s">
        <v>36</v>
      </c>
    </row>
    <row r="28" spans="1:23" ht="15" x14ac:dyDescent="0.35">
      <c r="A28" s="13" t="s">
        <v>42</v>
      </c>
      <c r="B28" s="9" t="s">
        <v>41</v>
      </c>
      <c r="C28" s="12">
        <v>52990</v>
      </c>
      <c r="P28" s="8"/>
      <c r="Q28" s="8"/>
      <c r="R28" s="8"/>
      <c r="V28" t="s">
        <v>28</v>
      </c>
      <c r="W28" s="32" t="s">
        <v>36</v>
      </c>
    </row>
    <row r="29" spans="1:23" ht="15" x14ac:dyDescent="0.35">
      <c r="A29" s="13" t="s">
        <v>42</v>
      </c>
      <c r="B29" s="1" t="s">
        <v>45</v>
      </c>
      <c r="C29" s="12">
        <v>62500</v>
      </c>
      <c r="V29" t="s">
        <v>28</v>
      </c>
      <c r="W29" s="32" t="s">
        <v>36</v>
      </c>
    </row>
    <row r="30" spans="1:23" ht="15" x14ac:dyDescent="0.35">
      <c r="A30" s="13" t="s">
        <v>42</v>
      </c>
      <c r="B30" s="9" t="s">
        <v>46</v>
      </c>
      <c r="C30" s="12">
        <v>73200</v>
      </c>
      <c r="V30" t="s">
        <v>28</v>
      </c>
      <c r="W30" s="32" t="s">
        <v>36</v>
      </c>
    </row>
    <row r="31" spans="1:23" ht="15" x14ac:dyDescent="0.35">
      <c r="A31" s="13" t="s">
        <v>42</v>
      </c>
      <c r="B31" s="1" t="s">
        <v>47</v>
      </c>
      <c r="V31" t="s">
        <v>28</v>
      </c>
      <c r="W31" s="32" t="s">
        <v>36</v>
      </c>
    </row>
    <row r="32" spans="1:23" ht="15" x14ac:dyDescent="0.35">
      <c r="A32" s="13" t="s">
        <v>42</v>
      </c>
      <c r="B32" s="9" t="s">
        <v>48</v>
      </c>
      <c r="V32" t="s">
        <v>28</v>
      </c>
      <c r="W32" s="32" t="s">
        <v>36</v>
      </c>
    </row>
    <row r="33" spans="1:23" ht="15" x14ac:dyDescent="0.35">
      <c r="A33" s="13" t="s">
        <v>42</v>
      </c>
      <c r="B33" s="1" t="s">
        <v>49</v>
      </c>
      <c r="V33" t="s">
        <v>28</v>
      </c>
      <c r="W33" s="32" t="s">
        <v>36</v>
      </c>
    </row>
    <row r="34" spans="1:23" ht="15" x14ac:dyDescent="0.35">
      <c r="A34" s="13" t="s">
        <v>42</v>
      </c>
      <c r="B34" s="9" t="s">
        <v>50</v>
      </c>
      <c r="V34" t="s">
        <v>28</v>
      </c>
      <c r="W34" s="32" t="s">
        <v>36</v>
      </c>
    </row>
    <row r="35" spans="1:23" x14ac:dyDescent="0.3">
      <c r="C35" s="2" t="s">
        <v>1</v>
      </c>
      <c r="D35" s="2" t="s">
        <v>2</v>
      </c>
      <c r="E35" s="2" t="s">
        <v>3</v>
      </c>
      <c r="F35" s="2" t="s">
        <v>4</v>
      </c>
      <c r="G35" s="3" t="s">
        <v>5</v>
      </c>
      <c r="H35" s="3" t="s">
        <v>6</v>
      </c>
      <c r="I35" s="3" t="s">
        <v>7</v>
      </c>
      <c r="J35" s="3" t="s">
        <v>8</v>
      </c>
      <c r="K35" s="3" t="s">
        <v>9</v>
      </c>
      <c r="L35" s="3" t="s">
        <v>10</v>
      </c>
      <c r="M35" s="3" t="s">
        <v>11</v>
      </c>
      <c r="N35" s="3" t="s">
        <v>12</v>
      </c>
      <c r="O35" s="3" t="s">
        <v>13</v>
      </c>
      <c r="P35" s="4" t="s">
        <v>14</v>
      </c>
      <c r="Q35" s="4" t="s">
        <v>15</v>
      </c>
      <c r="R35" s="4" t="s">
        <v>16</v>
      </c>
      <c r="S35" s="4" t="s">
        <v>17</v>
      </c>
      <c r="T35" s="4" t="s">
        <v>18</v>
      </c>
      <c r="U35" s="4" t="s">
        <v>19</v>
      </c>
      <c r="V35" s="4" t="s">
        <v>20</v>
      </c>
      <c r="W35" s="4" t="s">
        <v>21</v>
      </c>
    </row>
    <row r="36" spans="1:23" ht="15" x14ac:dyDescent="0.35">
      <c r="A36" s="13" t="s">
        <v>51</v>
      </c>
      <c r="B36" s="5" t="s">
        <v>22</v>
      </c>
      <c r="C36" s="11"/>
      <c r="W36" s="32" t="s">
        <v>29</v>
      </c>
    </row>
    <row r="37" spans="1:23" ht="15" x14ac:dyDescent="0.35">
      <c r="A37" s="13" t="s">
        <v>51</v>
      </c>
      <c r="B37" s="5" t="s">
        <v>30</v>
      </c>
      <c r="C37" s="12">
        <f>7900*1.5</f>
        <v>11850</v>
      </c>
      <c r="W37" s="32" t="s">
        <v>29</v>
      </c>
    </row>
    <row r="38" spans="1:23" ht="15" x14ac:dyDescent="0.35">
      <c r="A38" s="13" t="s">
        <v>51</v>
      </c>
      <c r="B38" s="5" t="s">
        <v>31</v>
      </c>
      <c r="C38" s="12">
        <f>8945*1.5</f>
        <v>13417.5</v>
      </c>
      <c r="W38" s="32" t="s">
        <v>29</v>
      </c>
    </row>
    <row r="39" spans="1:23" ht="15" x14ac:dyDescent="0.35">
      <c r="A39" s="13" t="s">
        <v>51</v>
      </c>
      <c r="B39" s="5" t="s">
        <v>32</v>
      </c>
      <c r="C39" s="11" t="s">
        <v>44</v>
      </c>
      <c r="W39" s="32" t="s">
        <v>29</v>
      </c>
    </row>
    <row r="40" spans="1:23" ht="15" x14ac:dyDescent="0.35">
      <c r="A40" s="13" t="s">
        <v>51</v>
      </c>
      <c r="B40" s="5" t="s">
        <v>33</v>
      </c>
      <c r="C40" s="12">
        <f>11480*1.5</f>
        <v>17220</v>
      </c>
      <c r="W40" s="32" t="s">
        <v>29</v>
      </c>
    </row>
    <row r="41" spans="1:23" ht="15" x14ac:dyDescent="0.35">
      <c r="A41" s="13" t="s">
        <v>51</v>
      </c>
      <c r="B41" s="9" t="s">
        <v>34</v>
      </c>
      <c r="C41" s="12">
        <f>14200*1.5</f>
        <v>21300</v>
      </c>
      <c r="W41" s="32" t="s">
        <v>29</v>
      </c>
    </row>
    <row r="42" spans="1:23" ht="15" x14ac:dyDescent="0.35">
      <c r="A42" s="13" t="s">
        <v>51</v>
      </c>
      <c r="B42" s="9" t="s">
        <v>35</v>
      </c>
      <c r="C42" s="12">
        <f>20100*1.5</f>
        <v>30150</v>
      </c>
      <c r="W42" s="32" t="s">
        <v>29</v>
      </c>
    </row>
    <row r="43" spans="1:23" ht="15" x14ac:dyDescent="0.35">
      <c r="A43" s="13" t="s">
        <v>51</v>
      </c>
      <c r="B43" s="9" t="s">
        <v>37</v>
      </c>
      <c r="C43" s="12">
        <f>22700*1.5</f>
        <v>34050</v>
      </c>
      <c r="W43" s="32" t="s">
        <v>36</v>
      </c>
    </row>
    <row r="44" spans="1:23" ht="15" x14ac:dyDescent="0.35">
      <c r="A44" s="13" t="s">
        <v>51</v>
      </c>
      <c r="B44" s="9" t="s">
        <v>38</v>
      </c>
      <c r="C44" s="12">
        <f>25200*1.5</f>
        <v>37800</v>
      </c>
      <c r="W44" s="32" t="s">
        <v>36</v>
      </c>
    </row>
    <row r="45" spans="1:23" ht="15" x14ac:dyDescent="0.35">
      <c r="A45" s="13" t="s">
        <v>51</v>
      </c>
      <c r="B45" s="9" t="s">
        <v>39</v>
      </c>
      <c r="C45" s="12">
        <f>38900*1.5</f>
        <v>58350</v>
      </c>
      <c r="W45" s="32" t="s">
        <v>36</v>
      </c>
    </row>
    <row r="46" spans="1:23" ht="15" x14ac:dyDescent="0.35">
      <c r="A46" s="13" t="s">
        <v>51</v>
      </c>
      <c r="B46" s="9" t="s">
        <v>40</v>
      </c>
      <c r="C46" s="12">
        <f>45900*1.5</f>
        <v>68850</v>
      </c>
      <c r="W46" s="32" t="s">
        <v>36</v>
      </c>
    </row>
    <row r="47" spans="1:23" ht="15" x14ac:dyDescent="0.35">
      <c r="A47" s="13" t="s">
        <v>51</v>
      </c>
      <c r="B47" s="9" t="s">
        <v>41</v>
      </c>
      <c r="C47" s="12">
        <f>52990*1.5</f>
        <v>79485</v>
      </c>
      <c r="W47" s="32" t="s">
        <v>36</v>
      </c>
    </row>
    <row r="48" spans="1:23" ht="15" x14ac:dyDescent="0.35">
      <c r="A48" s="13" t="s">
        <v>51</v>
      </c>
      <c r="B48" s="1" t="s">
        <v>45</v>
      </c>
      <c r="C48" s="12">
        <f>62500*1.5</f>
        <v>93750</v>
      </c>
      <c r="W48" s="32" t="s">
        <v>36</v>
      </c>
    </row>
    <row r="49" spans="1:23" ht="15" x14ac:dyDescent="0.35">
      <c r="A49" s="13" t="s">
        <v>51</v>
      </c>
      <c r="B49" s="9" t="s">
        <v>46</v>
      </c>
      <c r="C49" s="12">
        <f>73200*1.5</f>
        <v>109800</v>
      </c>
      <c r="W49" s="32" t="s">
        <v>36</v>
      </c>
    </row>
    <row r="50" spans="1:23" ht="15" x14ac:dyDescent="0.35">
      <c r="A50" s="13" t="s">
        <v>51</v>
      </c>
      <c r="B50" s="1" t="s">
        <v>47</v>
      </c>
      <c r="W50" s="32" t="s">
        <v>36</v>
      </c>
    </row>
    <row r="51" spans="1:23" ht="15" x14ac:dyDescent="0.35">
      <c r="A51" s="13" t="s">
        <v>51</v>
      </c>
      <c r="B51" s="9" t="s">
        <v>48</v>
      </c>
      <c r="W51" s="32" t="s">
        <v>36</v>
      </c>
    </row>
    <row r="52" spans="1:23" ht="15" x14ac:dyDescent="0.35">
      <c r="A52" s="13" t="s">
        <v>51</v>
      </c>
      <c r="B52" s="1" t="s">
        <v>49</v>
      </c>
      <c r="W52" s="32" t="s">
        <v>36</v>
      </c>
    </row>
    <row r="53" spans="1:23" ht="15" x14ac:dyDescent="0.35">
      <c r="A53" s="13" t="s">
        <v>51</v>
      </c>
      <c r="B53" s="9" t="s">
        <v>50</v>
      </c>
      <c r="W53" s="32" t="s">
        <v>36</v>
      </c>
    </row>
    <row r="54" spans="1:23" x14ac:dyDescent="0.3">
      <c r="C54" s="2" t="s">
        <v>1</v>
      </c>
      <c r="D54" s="2" t="s">
        <v>52</v>
      </c>
      <c r="E54" s="2" t="s">
        <v>53</v>
      </c>
      <c r="F54" s="2" t="s">
        <v>54</v>
      </c>
      <c r="G54" s="3" t="s">
        <v>55</v>
      </c>
      <c r="H54" s="3"/>
      <c r="I54" s="3"/>
      <c r="J54" s="3"/>
      <c r="K54" s="3"/>
      <c r="L54" s="3"/>
      <c r="M54" s="3"/>
      <c r="N54" s="3"/>
      <c r="O54" s="3"/>
      <c r="P54" s="4" t="s">
        <v>14</v>
      </c>
      <c r="Q54" s="4" t="s">
        <v>15</v>
      </c>
      <c r="R54" s="4" t="s">
        <v>16</v>
      </c>
      <c r="S54" s="4" t="s">
        <v>17</v>
      </c>
      <c r="T54" s="4" t="s">
        <v>18</v>
      </c>
      <c r="U54" s="4" t="s">
        <v>19</v>
      </c>
      <c r="V54" s="4" t="s">
        <v>20</v>
      </c>
      <c r="W54" s="4" t="s">
        <v>21</v>
      </c>
    </row>
    <row r="55" spans="1:23" ht="15" x14ac:dyDescent="0.35">
      <c r="A55" s="14" t="s">
        <v>56</v>
      </c>
      <c r="B55" s="5" t="s">
        <v>57</v>
      </c>
      <c r="G55" s="6">
        <v>1200</v>
      </c>
      <c r="T55" s="23"/>
      <c r="U55" s="17"/>
      <c r="W55" s="32" t="s">
        <v>43</v>
      </c>
    </row>
    <row r="56" spans="1:23" ht="15" x14ac:dyDescent="0.35">
      <c r="A56" s="14" t="s">
        <v>56</v>
      </c>
      <c r="B56" s="9" t="s">
        <v>58</v>
      </c>
      <c r="G56" s="6">
        <v>1200</v>
      </c>
      <c r="U56" s="17"/>
      <c r="W56" s="32" t="s">
        <v>43</v>
      </c>
    </row>
    <row r="57" spans="1:23" ht="15" x14ac:dyDescent="0.35">
      <c r="A57" s="14" t="s">
        <v>56</v>
      </c>
      <c r="B57" s="9" t="s">
        <v>59</v>
      </c>
      <c r="C57" s="6">
        <v>5449</v>
      </c>
      <c r="D57" s="6">
        <f>C57*1.42</f>
        <v>7737.58</v>
      </c>
      <c r="G57" s="6">
        <v>1300</v>
      </c>
      <c r="S57" s="1" t="s">
        <v>60</v>
      </c>
      <c r="T57" s="23">
        <v>49.9</v>
      </c>
      <c r="U57" s="17">
        <v>45308</v>
      </c>
      <c r="V57" t="s">
        <v>61</v>
      </c>
      <c r="W57" s="32" t="s">
        <v>43</v>
      </c>
    </row>
    <row r="58" spans="1:23" ht="15" x14ac:dyDescent="0.35">
      <c r="A58" s="14" t="s">
        <v>56</v>
      </c>
      <c r="B58" s="9" t="s">
        <v>62</v>
      </c>
      <c r="C58" s="6">
        <v>6750</v>
      </c>
      <c r="D58" s="6">
        <f>C58*1.42</f>
        <v>9585</v>
      </c>
      <c r="G58" s="6">
        <v>1400</v>
      </c>
      <c r="S58" s="1" t="s">
        <v>60</v>
      </c>
      <c r="T58" s="23">
        <v>49.9</v>
      </c>
      <c r="U58" s="17">
        <v>45308</v>
      </c>
      <c r="V58" t="s">
        <v>61</v>
      </c>
      <c r="W58" s="32" t="s">
        <v>43</v>
      </c>
    </row>
    <row r="59" spans="1:23" ht="15" x14ac:dyDescent="0.35">
      <c r="A59" s="14" t="s">
        <v>56</v>
      </c>
      <c r="B59" s="9" t="s">
        <v>63</v>
      </c>
      <c r="C59" s="6">
        <v>7746</v>
      </c>
      <c r="D59" s="6">
        <v>10260</v>
      </c>
      <c r="G59" s="6">
        <v>1500</v>
      </c>
      <c r="S59" s="1" t="s">
        <v>60</v>
      </c>
      <c r="T59" s="23">
        <v>49.9</v>
      </c>
      <c r="U59" s="17">
        <v>45308</v>
      </c>
      <c r="V59" t="s">
        <v>61</v>
      </c>
      <c r="W59" s="32" t="s">
        <v>43</v>
      </c>
    </row>
    <row r="60" spans="1:23" ht="15" x14ac:dyDescent="0.35">
      <c r="A60" s="14" t="s">
        <v>56</v>
      </c>
      <c r="B60" s="9" t="s">
        <v>64</v>
      </c>
      <c r="C60" s="6">
        <v>8500</v>
      </c>
      <c r="D60" s="6">
        <v>13370</v>
      </c>
      <c r="G60" s="6">
        <v>1600</v>
      </c>
      <c r="S60" s="1" t="s">
        <v>60</v>
      </c>
      <c r="T60" s="23">
        <v>49.9</v>
      </c>
      <c r="U60" s="17">
        <v>45308</v>
      </c>
      <c r="V60" t="s">
        <v>61</v>
      </c>
      <c r="W60" s="32" t="s">
        <v>43</v>
      </c>
    </row>
    <row r="61" spans="1:23" ht="15" x14ac:dyDescent="0.35">
      <c r="A61" s="14" t="s">
        <v>56</v>
      </c>
      <c r="B61" s="9" t="s">
        <v>65</v>
      </c>
      <c r="C61" s="6">
        <v>10080</v>
      </c>
      <c r="D61" s="6">
        <v>15986</v>
      </c>
      <c r="G61" s="6">
        <v>1700</v>
      </c>
      <c r="S61" s="1" t="s">
        <v>60</v>
      </c>
      <c r="T61" s="23">
        <v>49.9</v>
      </c>
      <c r="U61" s="17">
        <v>45308</v>
      </c>
      <c r="V61" t="s">
        <v>61</v>
      </c>
      <c r="W61" s="32" t="s">
        <v>43</v>
      </c>
    </row>
    <row r="62" spans="1:23" ht="15" x14ac:dyDescent="0.35">
      <c r="A62" s="14" t="s">
        <v>56</v>
      </c>
      <c r="B62" s="9" t="s">
        <v>66</v>
      </c>
      <c r="C62" s="6">
        <v>13000</v>
      </c>
      <c r="G62" s="6">
        <v>1700</v>
      </c>
      <c r="S62" s="1" t="s">
        <v>60</v>
      </c>
      <c r="T62" s="23">
        <v>49.9</v>
      </c>
      <c r="U62" s="17">
        <v>45308</v>
      </c>
      <c r="V62" t="s">
        <v>67</v>
      </c>
      <c r="W62" s="32" t="s">
        <v>43</v>
      </c>
    </row>
    <row r="63" spans="1:23" ht="15" x14ac:dyDescent="0.35">
      <c r="A63" s="14" t="s">
        <v>56</v>
      </c>
      <c r="B63" s="5" t="s">
        <v>68</v>
      </c>
      <c r="G63" s="6">
        <v>1800</v>
      </c>
      <c r="W63" s="32" t="s">
        <v>43</v>
      </c>
    </row>
    <row r="64" spans="1:23" x14ac:dyDescent="0.3">
      <c r="C64" s="2" t="s">
        <v>1</v>
      </c>
      <c r="D64" s="2" t="s">
        <v>52</v>
      </c>
      <c r="E64" s="2" t="s">
        <v>53</v>
      </c>
      <c r="F64" s="2" t="s">
        <v>54</v>
      </c>
      <c r="G64" s="3" t="s">
        <v>55</v>
      </c>
      <c r="H64" s="3"/>
      <c r="I64" s="3"/>
      <c r="J64" s="3"/>
      <c r="K64" s="3"/>
      <c r="L64" s="3"/>
      <c r="M64" s="3"/>
      <c r="N64" s="3"/>
      <c r="O64" s="3"/>
      <c r="P64" s="4" t="s">
        <v>14</v>
      </c>
      <c r="Q64" s="4" t="s">
        <v>15</v>
      </c>
      <c r="R64" s="4" t="s">
        <v>16</v>
      </c>
      <c r="S64" s="4" t="s">
        <v>17</v>
      </c>
      <c r="T64" s="4" t="s">
        <v>18</v>
      </c>
      <c r="U64" s="4" t="s">
        <v>19</v>
      </c>
      <c r="V64" s="4" t="s">
        <v>20</v>
      </c>
      <c r="W64" s="4" t="s">
        <v>21</v>
      </c>
    </row>
    <row r="65" spans="1:23" ht="15" x14ac:dyDescent="0.35">
      <c r="A65" s="14" t="s">
        <v>69</v>
      </c>
      <c r="B65" s="5" t="s">
        <v>70</v>
      </c>
      <c r="G65" s="6">
        <v>800</v>
      </c>
      <c r="W65" s="32" t="s">
        <v>43</v>
      </c>
    </row>
    <row r="66" spans="1:23" ht="15" x14ac:dyDescent="0.35">
      <c r="A66" s="14" t="s">
        <v>69</v>
      </c>
      <c r="B66" s="5" t="s">
        <v>71</v>
      </c>
      <c r="C66" s="6">
        <v>1800</v>
      </c>
      <c r="E66" s="6">
        <v>1955</v>
      </c>
      <c r="G66" s="6">
        <v>850</v>
      </c>
      <c r="S66" s="1" t="s">
        <v>72</v>
      </c>
      <c r="T66" s="23">
        <v>49.9</v>
      </c>
      <c r="U66" s="17">
        <v>45308</v>
      </c>
      <c r="V66" t="s">
        <v>73</v>
      </c>
      <c r="W66" s="32" t="s">
        <v>43</v>
      </c>
    </row>
    <row r="67" spans="1:23" ht="15" x14ac:dyDescent="0.35">
      <c r="A67" s="14" t="s">
        <v>69</v>
      </c>
      <c r="B67" s="5" t="s">
        <v>74</v>
      </c>
      <c r="C67" s="6">
        <v>2400</v>
      </c>
      <c r="D67" s="6">
        <v>2692</v>
      </c>
      <c r="G67" s="6">
        <v>900</v>
      </c>
      <c r="S67" s="1" t="s">
        <v>72</v>
      </c>
      <c r="T67" s="23">
        <v>49.9</v>
      </c>
      <c r="U67" s="17">
        <v>45308</v>
      </c>
      <c r="V67" t="s">
        <v>61</v>
      </c>
      <c r="W67" s="32" t="s">
        <v>43</v>
      </c>
    </row>
    <row r="68" spans="1:23" ht="15" x14ac:dyDescent="0.35">
      <c r="A68" s="14" t="s">
        <v>69</v>
      </c>
      <c r="B68" s="5" t="s">
        <v>57</v>
      </c>
      <c r="C68" s="6">
        <v>3190</v>
      </c>
      <c r="D68" s="6">
        <v>3380</v>
      </c>
      <c r="G68" s="6">
        <v>950</v>
      </c>
      <c r="S68" s="1" t="s">
        <v>72</v>
      </c>
      <c r="T68" s="23">
        <v>49.9</v>
      </c>
      <c r="U68" s="17">
        <v>45308</v>
      </c>
      <c r="V68" t="s">
        <v>75</v>
      </c>
      <c r="W68" s="32" t="s">
        <v>43</v>
      </c>
    </row>
    <row r="69" spans="1:23" ht="15" x14ac:dyDescent="0.35">
      <c r="A69" s="14" t="s">
        <v>69</v>
      </c>
      <c r="B69" s="9" t="s">
        <v>76</v>
      </c>
      <c r="G69" s="6">
        <v>1000</v>
      </c>
      <c r="W69" s="32" t="s">
        <v>43</v>
      </c>
    </row>
    <row r="70" spans="1:23" ht="15" x14ac:dyDescent="0.35">
      <c r="A70" s="14" t="s">
        <v>69</v>
      </c>
      <c r="B70" s="9" t="s">
        <v>59</v>
      </c>
      <c r="C70" s="6">
        <v>4765</v>
      </c>
      <c r="G70" s="6">
        <v>1200</v>
      </c>
      <c r="S70" s="1" t="s">
        <v>77</v>
      </c>
      <c r="T70" s="24">
        <v>130</v>
      </c>
      <c r="U70" s="17">
        <v>45308</v>
      </c>
      <c r="W70" s="32" t="s">
        <v>43</v>
      </c>
    </row>
    <row r="71" spans="1:23" ht="15" x14ac:dyDescent="0.35">
      <c r="A71" s="14" t="s">
        <v>69</v>
      </c>
      <c r="B71" s="9" t="s">
        <v>62</v>
      </c>
      <c r="C71" s="6">
        <v>6500</v>
      </c>
      <c r="D71" s="6">
        <v>5589</v>
      </c>
      <c r="G71" s="6">
        <v>1300</v>
      </c>
      <c r="S71" s="1" t="s">
        <v>60</v>
      </c>
      <c r="T71" s="23">
        <v>150</v>
      </c>
      <c r="U71" s="17">
        <v>45308</v>
      </c>
      <c r="V71" t="s">
        <v>78</v>
      </c>
      <c r="W71" s="32" t="s">
        <v>43</v>
      </c>
    </row>
    <row r="72" spans="1:23" x14ac:dyDescent="0.3">
      <c r="C72" s="2" t="s">
        <v>1</v>
      </c>
      <c r="D72" s="2" t="s">
        <v>52</v>
      </c>
      <c r="E72" s="2" t="s">
        <v>53</v>
      </c>
      <c r="F72" s="2" t="s">
        <v>54</v>
      </c>
      <c r="G72" s="3"/>
      <c r="H72" s="3"/>
      <c r="I72" s="3"/>
      <c r="J72" s="3"/>
      <c r="K72" s="3"/>
      <c r="L72" s="3"/>
      <c r="M72" s="3"/>
      <c r="N72" s="3"/>
      <c r="O72" s="3"/>
      <c r="P72" s="4" t="s">
        <v>14</v>
      </c>
      <c r="Q72" s="4" t="s">
        <v>15</v>
      </c>
      <c r="R72" s="4" t="s">
        <v>16</v>
      </c>
      <c r="S72" s="4" t="s">
        <v>17</v>
      </c>
      <c r="T72" s="4" t="s">
        <v>18</v>
      </c>
      <c r="U72" s="4" t="s">
        <v>19</v>
      </c>
      <c r="V72" s="4" t="s">
        <v>20</v>
      </c>
      <c r="W72" s="4" t="s">
        <v>21</v>
      </c>
    </row>
    <row r="73" spans="1:23" ht="15" x14ac:dyDescent="0.35">
      <c r="A73" s="14" t="s">
        <v>79</v>
      </c>
      <c r="B73" s="5" t="s">
        <v>80</v>
      </c>
      <c r="C73" s="6">
        <v>1899</v>
      </c>
      <c r="G73" s="6"/>
      <c r="S73" s="1" t="s">
        <v>81</v>
      </c>
      <c r="T73" s="23">
        <v>91</v>
      </c>
      <c r="U73" s="17">
        <v>45308</v>
      </c>
      <c r="V73" t="s">
        <v>82</v>
      </c>
      <c r="W73" s="32" t="s">
        <v>43</v>
      </c>
    </row>
    <row r="74" spans="1:23" ht="15" x14ac:dyDescent="0.35">
      <c r="A74" s="14" t="s">
        <v>79</v>
      </c>
      <c r="B74" s="5" t="s">
        <v>83</v>
      </c>
      <c r="C74" s="6">
        <v>2439</v>
      </c>
      <c r="G74" s="6"/>
      <c r="S74" s="1" t="s">
        <v>81</v>
      </c>
      <c r="T74" s="23">
        <v>91</v>
      </c>
      <c r="U74" s="17">
        <v>45308</v>
      </c>
      <c r="V74" t="s">
        <v>73</v>
      </c>
      <c r="W74" s="32" t="s">
        <v>43</v>
      </c>
    </row>
    <row r="75" spans="1:23" ht="15" x14ac:dyDescent="0.35">
      <c r="A75" s="14" t="s">
        <v>79</v>
      </c>
      <c r="B75" s="5" t="s">
        <v>74</v>
      </c>
      <c r="C75" s="6">
        <v>3648</v>
      </c>
      <c r="G75" s="6"/>
      <c r="S75" s="1" t="s">
        <v>84</v>
      </c>
      <c r="T75" s="23">
        <v>80</v>
      </c>
      <c r="U75" s="17">
        <v>45308</v>
      </c>
      <c r="V75" t="s">
        <v>73</v>
      </c>
      <c r="W75" s="32" t="s">
        <v>43</v>
      </c>
    </row>
    <row r="76" spans="1:23" ht="15" x14ac:dyDescent="0.35">
      <c r="A76" s="14" t="s">
        <v>79</v>
      </c>
      <c r="B76" s="5" t="s">
        <v>57</v>
      </c>
      <c r="C76" s="6">
        <v>3898</v>
      </c>
      <c r="G76" s="6"/>
      <c r="S76" s="1" t="s">
        <v>85</v>
      </c>
      <c r="T76" s="23">
        <v>49</v>
      </c>
      <c r="U76" s="17">
        <v>45308</v>
      </c>
      <c r="V76" t="s">
        <v>73</v>
      </c>
      <c r="W76" s="32" t="s">
        <v>43</v>
      </c>
    </row>
    <row r="77" spans="1:23" ht="15" x14ac:dyDescent="0.35">
      <c r="A77" s="14" t="s">
        <v>79</v>
      </c>
      <c r="B77" s="9" t="s">
        <v>86</v>
      </c>
      <c r="C77" s="6">
        <v>5460</v>
      </c>
      <c r="G77" s="6"/>
      <c r="S77" s="1" t="s">
        <v>85</v>
      </c>
      <c r="T77" s="23">
        <v>49</v>
      </c>
      <c r="U77" s="17">
        <v>45308</v>
      </c>
      <c r="V77" t="s">
        <v>73</v>
      </c>
      <c r="W77" s="32" t="s">
        <v>43</v>
      </c>
    </row>
    <row r="78" spans="1:23" ht="15" x14ac:dyDescent="0.35">
      <c r="A78" s="14" t="s">
        <v>79</v>
      </c>
      <c r="B78" s="9" t="s">
        <v>87</v>
      </c>
      <c r="C78" s="6">
        <v>5979</v>
      </c>
      <c r="G78" s="6"/>
      <c r="S78" s="1" t="s">
        <v>85</v>
      </c>
      <c r="T78" s="23">
        <v>49</v>
      </c>
      <c r="U78" s="17">
        <v>45308</v>
      </c>
      <c r="V78" t="s">
        <v>73</v>
      </c>
      <c r="W78" s="32" t="s">
        <v>43</v>
      </c>
    </row>
    <row r="79" spans="1:23" x14ac:dyDescent="0.3">
      <c r="C79" s="2" t="s">
        <v>1</v>
      </c>
      <c r="D79" s="2" t="s">
        <v>88</v>
      </c>
      <c r="E79" s="2" t="s">
        <v>89</v>
      </c>
      <c r="F79" s="2" t="s">
        <v>90</v>
      </c>
      <c r="G79" s="2" t="s">
        <v>91</v>
      </c>
      <c r="H79" s="2" t="s">
        <v>92</v>
      </c>
      <c r="I79" s="2" t="s">
        <v>93</v>
      </c>
      <c r="J79" s="2" t="s">
        <v>94</v>
      </c>
      <c r="K79" s="2" t="s">
        <v>95</v>
      </c>
      <c r="P79" s="4" t="s">
        <v>14</v>
      </c>
      <c r="Q79" s="4" t="s">
        <v>15</v>
      </c>
      <c r="R79" s="4" t="s">
        <v>16</v>
      </c>
      <c r="S79" s="4" t="s">
        <v>17</v>
      </c>
      <c r="T79" s="4" t="s">
        <v>18</v>
      </c>
      <c r="U79" s="4" t="s">
        <v>19</v>
      </c>
      <c r="V79" s="4" t="s">
        <v>20</v>
      </c>
      <c r="W79" s="4" t="s">
        <v>21</v>
      </c>
    </row>
    <row r="80" spans="1:23" ht="15" x14ac:dyDescent="0.35">
      <c r="A80" s="15" t="s">
        <v>96</v>
      </c>
      <c r="B80" s="1" t="s">
        <v>97</v>
      </c>
      <c r="C80" s="12">
        <v>2400</v>
      </c>
      <c r="D80" s="7">
        <v>0</v>
      </c>
      <c r="E80" s="7">
        <v>0</v>
      </c>
      <c r="F80" s="7"/>
      <c r="G80" s="7">
        <v>130</v>
      </c>
      <c r="H80" s="7">
        <v>250</v>
      </c>
      <c r="I80" s="7"/>
      <c r="J80" s="7" t="s">
        <v>98</v>
      </c>
      <c r="K80" s="7" t="s">
        <v>99</v>
      </c>
      <c r="W80" s="32" t="s">
        <v>100</v>
      </c>
    </row>
    <row r="81" spans="1:23" ht="15" x14ac:dyDescent="0.35">
      <c r="A81" s="15" t="s">
        <v>96</v>
      </c>
      <c r="B81" s="1" t="s">
        <v>101</v>
      </c>
      <c r="C81" s="10">
        <v>2300</v>
      </c>
      <c r="D81" s="6">
        <v>0</v>
      </c>
      <c r="E81" s="6">
        <v>0</v>
      </c>
      <c r="G81" s="6">
        <v>130</v>
      </c>
      <c r="H81" s="6">
        <v>250</v>
      </c>
      <c r="J81" s="1" t="s">
        <v>102</v>
      </c>
      <c r="K81" s="1" t="s">
        <v>103</v>
      </c>
      <c r="W81" s="32" t="s">
        <v>104</v>
      </c>
    </row>
    <row r="82" spans="1:23" ht="15" x14ac:dyDescent="0.35">
      <c r="A82" s="15" t="s">
        <v>96</v>
      </c>
      <c r="B82" s="1" t="s">
        <v>105</v>
      </c>
      <c r="G82" s="6"/>
      <c r="J82" s="1" t="s">
        <v>98</v>
      </c>
      <c r="K82" s="1" t="s">
        <v>103</v>
      </c>
      <c r="W82" s="32" t="s">
        <v>100</v>
      </c>
    </row>
    <row r="83" spans="1:23" ht="15" x14ac:dyDescent="0.35">
      <c r="A83" s="15" t="s">
        <v>96</v>
      </c>
      <c r="B83" s="1" t="s">
        <v>106</v>
      </c>
      <c r="G83" s="6"/>
      <c r="J83" s="1" t="s">
        <v>102</v>
      </c>
      <c r="K83" s="1" t="s">
        <v>99</v>
      </c>
      <c r="W83" s="32" t="s">
        <v>100</v>
      </c>
    </row>
    <row r="84" spans="1:23" ht="15" x14ac:dyDescent="0.35">
      <c r="A84" s="15" t="s">
        <v>96</v>
      </c>
      <c r="B84" s="1" t="s">
        <v>107</v>
      </c>
      <c r="G84" s="6"/>
      <c r="J84" s="1" t="s">
        <v>108</v>
      </c>
      <c r="K84" s="1" t="s">
        <v>109</v>
      </c>
      <c r="W84" s="32" t="s">
        <v>100</v>
      </c>
    </row>
    <row r="85" spans="1:23" ht="15" x14ac:dyDescent="0.35">
      <c r="A85" s="15" t="s">
        <v>96</v>
      </c>
      <c r="B85" s="1" t="s">
        <v>110</v>
      </c>
      <c r="G85" s="6"/>
      <c r="J85" s="1" t="s">
        <v>111</v>
      </c>
      <c r="K85" s="1" t="s">
        <v>109</v>
      </c>
      <c r="W85" s="32" t="s">
        <v>100</v>
      </c>
    </row>
    <row r="86" spans="1:23" ht="15" x14ac:dyDescent="0.35">
      <c r="A86" s="15" t="s">
        <v>96</v>
      </c>
      <c r="B86" s="1" t="s">
        <v>112</v>
      </c>
      <c r="G86" s="6"/>
      <c r="J86" s="1" t="s">
        <v>98</v>
      </c>
      <c r="K86" s="1" t="s">
        <v>99</v>
      </c>
      <c r="W86" s="32" t="s">
        <v>100</v>
      </c>
    </row>
    <row r="87" spans="1:23" ht="15" x14ac:dyDescent="0.35">
      <c r="A87" s="15" t="s">
        <v>96</v>
      </c>
      <c r="B87" s="1" t="s">
        <v>113</v>
      </c>
      <c r="G87" s="6"/>
      <c r="J87" s="1" t="s">
        <v>108</v>
      </c>
      <c r="K87" s="1" t="s">
        <v>114</v>
      </c>
      <c r="W87" s="32" t="s">
        <v>100</v>
      </c>
    </row>
    <row r="88" spans="1:23" ht="15" x14ac:dyDescent="0.35">
      <c r="A88" s="15" t="s">
        <v>96</v>
      </c>
      <c r="B88" s="1" t="s">
        <v>115</v>
      </c>
      <c r="C88" s="10">
        <v>5100</v>
      </c>
      <c r="G88" s="6"/>
      <c r="J88" s="1" t="s">
        <v>111</v>
      </c>
      <c r="K88" s="1" t="s">
        <v>116</v>
      </c>
      <c r="W88" s="32" t="s">
        <v>100</v>
      </c>
    </row>
    <row r="89" spans="1:23" ht="15" x14ac:dyDescent="0.35">
      <c r="A89" s="15" t="s">
        <v>96</v>
      </c>
      <c r="B89" s="1" t="s">
        <v>117</v>
      </c>
      <c r="G89" s="6"/>
      <c r="J89" s="1" t="s">
        <v>98</v>
      </c>
      <c r="K89" s="1" t="s">
        <v>118</v>
      </c>
      <c r="W89" s="32" t="s">
        <v>100</v>
      </c>
    </row>
    <row r="90" spans="1:23" ht="15" x14ac:dyDescent="0.35">
      <c r="A90" s="15" t="s">
        <v>96</v>
      </c>
      <c r="B90" s="1" t="s">
        <v>119</v>
      </c>
      <c r="C90" s="10">
        <v>5750</v>
      </c>
      <c r="G90" s="6"/>
      <c r="J90" s="1" t="s">
        <v>120</v>
      </c>
      <c r="K90" s="1" t="s">
        <v>116</v>
      </c>
      <c r="W90" s="32" t="s">
        <v>100</v>
      </c>
    </row>
    <row r="91" spans="1:23" ht="15" x14ac:dyDescent="0.35">
      <c r="A91" s="15" t="s">
        <v>96</v>
      </c>
      <c r="B91" s="1" t="s">
        <v>121</v>
      </c>
      <c r="G91" s="6"/>
      <c r="J91" s="1" t="s">
        <v>122</v>
      </c>
      <c r="K91" s="1" t="s">
        <v>114</v>
      </c>
      <c r="W91" s="32" t="s">
        <v>100</v>
      </c>
    </row>
    <row r="92" spans="1:23" ht="15" x14ac:dyDescent="0.35">
      <c r="A92" s="15" t="s">
        <v>96</v>
      </c>
      <c r="B92" s="1" t="s">
        <v>123</v>
      </c>
      <c r="G92" s="6"/>
      <c r="J92" s="1" t="s">
        <v>124</v>
      </c>
      <c r="K92" s="1" t="s">
        <v>114</v>
      </c>
      <c r="W92" s="32" t="s">
        <v>100</v>
      </c>
    </row>
    <row r="93" spans="1:23" ht="15" x14ac:dyDescent="0.35">
      <c r="A93" s="15" t="s">
        <v>96</v>
      </c>
      <c r="B93" s="1" t="s">
        <v>125</v>
      </c>
      <c r="C93" s="6">
        <v>7100</v>
      </c>
      <c r="G93" s="6"/>
      <c r="J93" s="1" t="s">
        <v>126</v>
      </c>
      <c r="K93" s="1" t="s">
        <v>114</v>
      </c>
      <c r="W93" s="32" t="s">
        <v>100</v>
      </c>
    </row>
    <row r="94" spans="1:23" ht="15" x14ac:dyDescent="0.35">
      <c r="A94" s="15" t="s">
        <v>96</v>
      </c>
      <c r="B94" s="1" t="s">
        <v>127</v>
      </c>
      <c r="C94" s="6">
        <v>3200</v>
      </c>
      <c r="G94" s="6">
        <v>250</v>
      </c>
      <c r="H94" s="25">
        <v>540</v>
      </c>
      <c r="I94" s="6">
        <v>950</v>
      </c>
      <c r="J94" s="1" t="s">
        <v>120</v>
      </c>
      <c r="K94" s="1" t="s">
        <v>118</v>
      </c>
      <c r="R94" s="25">
        <v>12</v>
      </c>
      <c r="U94" s="17">
        <v>45259</v>
      </c>
      <c r="V94" t="s">
        <v>128</v>
      </c>
      <c r="W94" s="32" t="s">
        <v>100</v>
      </c>
    </row>
    <row r="95" spans="1:23" ht="15" x14ac:dyDescent="0.35">
      <c r="A95" s="15" t="s">
        <v>96</v>
      </c>
      <c r="B95" s="1" t="s">
        <v>129</v>
      </c>
      <c r="C95" s="6">
        <v>4200</v>
      </c>
      <c r="G95" s="6">
        <v>180</v>
      </c>
      <c r="H95" s="25">
        <v>350</v>
      </c>
      <c r="I95" s="25">
        <v>750</v>
      </c>
      <c r="J95" s="1" t="s">
        <v>111</v>
      </c>
      <c r="K95" s="1" t="s">
        <v>130</v>
      </c>
      <c r="R95" s="25">
        <v>12</v>
      </c>
      <c r="U95" s="17">
        <v>45259</v>
      </c>
      <c r="V95" t="s">
        <v>128</v>
      </c>
      <c r="W95" s="32" t="s">
        <v>100</v>
      </c>
    </row>
    <row r="96" spans="1:23" ht="15" x14ac:dyDescent="0.35">
      <c r="A96" s="15" t="s">
        <v>96</v>
      </c>
      <c r="B96" s="1" t="s">
        <v>131</v>
      </c>
      <c r="C96" s="6">
        <v>4700</v>
      </c>
      <c r="G96" s="6">
        <v>350</v>
      </c>
      <c r="H96" s="6">
        <v>950</v>
      </c>
      <c r="I96" s="6">
        <v>1400</v>
      </c>
      <c r="J96" s="1" t="s">
        <v>132</v>
      </c>
      <c r="K96" s="1" t="s">
        <v>133</v>
      </c>
      <c r="R96" s="25">
        <v>12</v>
      </c>
      <c r="U96" s="17">
        <v>45259</v>
      </c>
      <c r="V96" t="s">
        <v>128</v>
      </c>
      <c r="W96" s="32" t="s">
        <v>100</v>
      </c>
    </row>
    <row r="97" spans="1:23" ht="15" x14ac:dyDescent="0.35">
      <c r="A97" s="15" t="s">
        <v>96</v>
      </c>
      <c r="B97" s="1" t="s">
        <v>134</v>
      </c>
      <c r="C97" s="6">
        <v>3600</v>
      </c>
      <c r="G97" s="6">
        <v>290</v>
      </c>
      <c r="H97" s="6">
        <v>620</v>
      </c>
      <c r="I97" s="6">
        <v>1020</v>
      </c>
      <c r="J97" s="1" t="s">
        <v>124</v>
      </c>
      <c r="K97" s="1" t="s">
        <v>135</v>
      </c>
      <c r="R97" s="25">
        <v>12</v>
      </c>
      <c r="U97" s="17">
        <v>45259</v>
      </c>
      <c r="V97" t="s">
        <v>128</v>
      </c>
      <c r="W97" s="32" t="s">
        <v>100</v>
      </c>
    </row>
    <row r="98" spans="1:23" ht="15" x14ac:dyDescent="0.35">
      <c r="A98" s="15" t="s">
        <v>96</v>
      </c>
      <c r="B98" s="1" t="s">
        <v>136</v>
      </c>
      <c r="C98" s="6">
        <v>4900</v>
      </c>
      <c r="G98" s="6">
        <v>300</v>
      </c>
      <c r="H98" s="6">
        <v>825</v>
      </c>
      <c r="I98" s="6">
        <v>1100</v>
      </c>
      <c r="J98" s="1" t="s">
        <v>126</v>
      </c>
      <c r="K98" s="1" t="s">
        <v>137</v>
      </c>
      <c r="R98" s="25">
        <v>12</v>
      </c>
      <c r="U98" s="17">
        <v>45259</v>
      </c>
      <c r="V98" t="s">
        <v>128</v>
      </c>
      <c r="W98" s="32" t="s">
        <v>100</v>
      </c>
    </row>
    <row r="99" spans="1:23" ht="15" x14ac:dyDescent="0.35">
      <c r="A99" s="15" t="s">
        <v>96</v>
      </c>
      <c r="B99" s="1" t="s">
        <v>138</v>
      </c>
      <c r="C99" s="10">
        <v>9800</v>
      </c>
      <c r="G99" s="6"/>
      <c r="J99" s="1" t="s">
        <v>139</v>
      </c>
      <c r="K99" s="1" t="s">
        <v>118</v>
      </c>
      <c r="W99" s="32" t="s">
        <v>100</v>
      </c>
    </row>
    <row r="100" spans="1:23" ht="15" x14ac:dyDescent="0.35">
      <c r="A100" s="15" t="s">
        <v>96</v>
      </c>
      <c r="B100" s="1" t="s">
        <v>140</v>
      </c>
      <c r="G100" s="6"/>
      <c r="J100" s="1" t="s">
        <v>132</v>
      </c>
      <c r="K100" s="1" t="s">
        <v>130</v>
      </c>
      <c r="W100" s="32" t="s">
        <v>100</v>
      </c>
    </row>
    <row r="101" spans="1:23" ht="15" x14ac:dyDescent="0.35">
      <c r="A101" s="15" t="s">
        <v>96</v>
      </c>
      <c r="B101" s="1" t="s">
        <v>141</v>
      </c>
      <c r="C101" s="10">
        <v>11200</v>
      </c>
      <c r="G101" s="6"/>
      <c r="J101" s="1" t="s">
        <v>142</v>
      </c>
      <c r="K101" s="1" t="s">
        <v>135</v>
      </c>
      <c r="W101" s="32" t="s">
        <v>100</v>
      </c>
    </row>
    <row r="102" spans="1:23" ht="15" x14ac:dyDescent="0.35">
      <c r="A102" s="15" t="s">
        <v>96</v>
      </c>
      <c r="B102" s="1" t="s">
        <v>143</v>
      </c>
      <c r="C102" s="10">
        <v>13900</v>
      </c>
      <c r="G102" s="6"/>
      <c r="J102" s="1" t="s">
        <v>144</v>
      </c>
      <c r="K102" s="1" t="s">
        <v>137</v>
      </c>
      <c r="W102" s="32" t="s">
        <v>100</v>
      </c>
    </row>
    <row r="103" spans="1:23" ht="15" x14ac:dyDescent="0.35">
      <c r="A103" s="15" t="s">
        <v>96</v>
      </c>
      <c r="B103" s="1" t="s">
        <v>145</v>
      </c>
      <c r="G103" s="6"/>
      <c r="J103" s="1" t="s">
        <v>139</v>
      </c>
      <c r="K103" s="1" t="s">
        <v>146</v>
      </c>
      <c r="W103" s="32" t="s">
        <v>100</v>
      </c>
    </row>
    <row r="104" spans="1:23" ht="15" x14ac:dyDescent="0.35">
      <c r="A104" s="15" t="s">
        <v>96</v>
      </c>
      <c r="B104" s="1" t="s">
        <v>147</v>
      </c>
      <c r="G104" s="6"/>
      <c r="J104" s="1" t="s">
        <v>148</v>
      </c>
      <c r="K104" s="1" t="s">
        <v>130</v>
      </c>
      <c r="W104" s="32" t="s">
        <v>100</v>
      </c>
    </row>
    <row r="105" spans="1:23" ht="15" x14ac:dyDescent="0.35">
      <c r="A105" s="15" t="s">
        <v>96</v>
      </c>
      <c r="B105" s="1" t="s">
        <v>149</v>
      </c>
      <c r="G105" s="6"/>
      <c r="J105" s="1" t="s">
        <v>142</v>
      </c>
      <c r="K105" s="1" t="s">
        <v>150</v>
      </c>
      <c r="W105" s="32" t="s">
        <v>100</v>
      </c>
    </row>
    <row r="106" spans="1:23" ht="15" x14ac:dyDescent="0.35">
      <c r="A106" s="15" t="s">
        <v>96</v>
      </c>
      <c r="B106" s="1" t="s">
        <v>151</v>
      </c>
      <c r="G106" s="6"/>
      <c r="J106" s="1" t="s">
        <v>152</v>
      </c>
      <c r="K106" s="1" t="s">
        <v>146</v>
      </c>
      <c r="W106" s="32" t="s">
        <v>100</v>
      </c>
    </row>
    <row r="107" spans="1:23" ht="15" x14ac:dyDescent="0.35">
      <c r="A107" s="15" t="s">
        <v>96</v>
      </c>
      <c r="B107" s="1" t="s">
        <v>153</v>
      </c>
      <c r="G107" s="6"/>
      <c r="J107" s="1" t="s">
        <v>144</v>
      </c>
      <c r="K107" s="1" t="s">
        <v>154</v>
      </c>
      <c r="W107" s="32" t="s">
        <v>100</v>
      </c>
    </row>
    <row r="108" spans="1:23" ht="15" x14ac:dyDescent="0.35">
      <c r="A108" t="s">
        <v>155</v>
      </c>
      <c r="B108" s="1" t="s">
        <v>156</v>
      </c>
      <c r="C108" s="6">
        <v>7760</v>
      </c>
      <c r="G108" s="6"/>
      <c r="J108" s="1" t="s">
        <v>157</v>
      </c>
      <c r="K108" s="1" t="s">
        <v>109</v>
      </c>
      <c r="S108" s="1" t="s">
        <v>158</v>
      </c>
      <c r="T108" t="s">
        <v>159</v>
      </c>
      <c r="U108" s="17">
        <v>45321</v>
      </c>
      <c r="V108" t="s">
        <v>160</v>
      </c>
      <c r="W108" s="32" t="s">
        <v>100</v>
      </c>
    </row>
    <row r="109" spans="1:23" ht="15" x14ac:dyDescent="0.35">
      <c r="C109" s="2" t="s">
        <v>1</v>
      </c>
      <c r="D109" s="2" t="s">
        <v>88</v>
      </c>
      <c r="E109" s="2" t="s">
        <v>89</v>
      </c>
      <c r="F109" s="2" t="s">
        <v>90</v>
      </c>
      <c r="P109" s="4" t="s">
        <v>14</v>
      </c>
      <c r="Q109" s="4" t="s">
        <v>15</v>
      </c>
      <c r="R109" s="4" t="s">
        <v>16</v>
      </c>
      <c r="S109" s="4" t="s">
        <v>17</v>
      </c>
      <c r="T109" s="4" t="s">
        <v>18</v>
      </c>
      <c r="U109" s="4" t="s">
        <v>19</v>
      </c>
      <c r="V109" s="4" t="s">
        <v>20</v>
      </c>
      <c r="W109" s="32"/>
    </row>
    <row r="110" spans="1:23" x14ac:dyDescent="0.3">
      <c r="C110" s="2"/>
      <c r="D110" s="2"/>
      <c r="E110" s="2"/>
      <c r="F110" s="2"/>
      <c r="P110" s="4"/>
      <c r="Q110" s="4"/>
      <c r="R110" s="4"/>
      <c r="S110" s="4"/>
      <c r="T110" s="4"/>
      <c r="U110" s="4"/>
      <c r="V110" s="4"/>
    </row>
    <row r="111" spans="1:23" x14ac:dyDescent="0.3">
      <c r="A111" t="s">
        <v>161</v>
      </c>
      <c r="B111" s="1" t="s">
        <v>162</v>
      </c>
      <c r="C111" s="6">
        <v>2500</v>
      </c>
    </row>
    <row r="112" spans="1:23" x14ac:dyDescent="0.3">
      <c r="A112" t="s">
        <v>161</v>
      </c>
      <c r="B112" s="1" t="s">
        <v>163</v>
      </c>
      <c r="C112" s="6">
        <v>2800</v>
      </c>
    </row>
    <row r="113" spans="1:23" x14ac:dyDescent="0.3">
      <c r="A113" t="s">
        <v>161</v>
      </c>
      <c r="B113" s="1" t="s">
        <v>164</v>
      </c>
      <c r="C113" s="6">
        <v>2900</v>
      </c>
    </row>
    <row r="114" spans="1:23" x14ac:dyDescent="0.3">
      <c r="A114" t="s">
        <v>161</v>
      </c>
      <c r="B114" s="1" t="s">
        <v>165</v>
      </c>
      <c r="C114" s="6">
        <v>2900</v>
      </c>
    </row>
    <row r="115" spans="1:23" x14ac:dyDescent="0.3">
      <c r="A115" t="s">
        <v>161</v>
      </c>
      <c r="B115" s="1" t="s">
        <v>166</v>
      </c>
      <c r="C115" s="6">
        <v>3000</v>
      </c>
    </row>
    <row r="116" spans="1:23" x14ac:dyDescent="0.3">
      <c r="A116" t="s">
        <v>161</v>
      </c>
      <c r="B116" s="1" t="s">
        <v>167</v>
      </c>
      <c r="C116" s="6">
        <v>3100</v>
      </c>
    </row>
    <row r="117" spans="1:23" x14ac:dyDescent="0.3">
      <c r="A117" t="s">
        <v>161</v>
      </c>
      <c r="B117" s="1" t="s">
        <v>168</v>
      </c>
      <c r="C117" s="6">
        <v>3200</v>
      </c>
    </row>
    <row r="118" spans="1:23" x14ac:dyDescent="0.3">
      <c r="A118" t="s">
        <v>161</v>
      </c>
      <c r="B118" s="1" t="s">
        <v>169</v>
      </c>
    </row>
    <row r="119" spans="1:23" x14ac:dyDescent="0.3">
      <c r="A119" t="s">
        <v>161</v>
      </c>
      <c r="B119" s="1" t="s">
        <v>170</v>
      </c>
    </row>
    <row r="120" spans="1:23" x14ac:dyDescent="0.3">
      <c r="A120" t="s">
        <v>161</v>
      </c>
      <c r="B120" s="1" t="s">
        <v>171</v>
      </c>
    </row>
    <row r="121" spans="1:23" x14ac:dyDescent="0.3">
      <c r="A121" t="s">
        <v>161</v>
      </c>
      <c r="B121" s="1" t="s">
        <v>172</v>
      </c>
    </row>
    <row r="122" spans="1:23" x14ac:dyDescent="0.3">
      <c r="A122" t="s">
        <v>161</v>
      </c>
      <c r="B122" s="1" t="s">
        <v>173</v>
      </c>
    </row>
    <row r="123" spans="1:23" x14ac:dyDescent="0.3">
      <c r="A123" t="s">
        <v>161</v>
      </c>
      <c r="B123" s="1" t="s">
        <v>174</v>
      </c>
    </row>
    <row r="124" spans="1:23" x14ac:dyDescent="0.3">
      <c r="A124" t="s">
        <v>161</v>
      </c>
      <c r="B124" s="1" t="s">
        <v>175</v>
      </c>
    </row>
    <row r="125" spans="1:23" x14ac:dyDescent="0.3">
      <c r="C125" s="2" t="s">
        <v>1</v>
      </c>
      <c r="D125" s="2" t="s">
        <v>88</v>
      </c>
      <c r="E125" s="2" t="s">
        <v>89</v>
      </c>
      <c r="F125" s="2" t="s">
        <v>90</v>
      </c>
      <c r="P125" s="4" t="s">
        <v>14</v>
      </c>
      <c r="Q125" s="4" t="s">
        <v>15</v>
      </c>
      <c r="R125" s="4" t="s">
        <v>16</v>
      </c>
      <c r="S125" s="4" t="s">
        <v>17</v>
      </c>
      <c r="T125" s="4" t="s">
        <v>18</v>
      </c>
      <c r="U125" s="4" t="s">
        <v>19</v>
      </c>
      <c r="V125" s="4" t="s">
        <v>20</v>
      </c>
      <c r="W125" s="4" t="s">
        <v>21</v>
      </c>
    </row>
    <row r="126" spans="1:23" x14ac:dyDescent="0.3">
      <c r="A126" s="15" t="s">
        <v>176</v>
      </c>
      <c r="B126" s="1" t="s">
        <v>167</v>
      </c>
      <c r="C126" s="6">
        <v>17200</v>
      </c>
    </row>
    <row r="127" spans="1:23" x14ac:dyDescent="0.3">
      <c r="A127" s="15" t="s">
        <v>176</v>
      </c>
      <c r="B127" s="1" t="s">
        <v>177</v>
      </c>
      <c r="C127" s="6">
        <v>28400</v>
      </c>
    </row>
    <row r="128" spans="1:23" x14ac:dyDescent="0.3">
      <c r="C128" s="2" t="s">
        <v>1</v>
      </c>
      <c r="D128" s="2" t="s">
        <v>88</v>
      </c>
      <c r="E128" s="2" t="s">
        <v>89</v>
      </c>
      <c r="F128" s="2" t="s">
        <v>90</v>
      </c>
      <c r="P128" s="4" t="s">
        <v>14</v>
      </c>
      <c r="Q128" s="4" t="s">
        <v>15</v>
      </c>
      <c r="R128" s="4" t="s">
        <v>16</v>
      </c>
      <c r="S128" s="4" t="s">
        <v>17</v>
      </c>
      <c r="T128" s="4" t="s">
        <v>18</v>
      </c>
      <c r="U128" s="4" t="s">
        <v>19</v>
      </c>
      <c r="V128" s="4" t="s">
        <v>20</v>
      </c>
      <c r="W128" s="4" t="s">
        <v>21</v>
      </c>
    </row>
    <row r="129" spans="1:23" x14ac:dyDescent="0.3">
      <c r="A129" t="s">
        <v>178</v>
      </c>
      <c r="B129" s="1" t="s">
        <v>166</v>
      </c>
      <c r="C129" s="6">
        <v>3900</v>
      </c>
      <c r="D129" s="6">
        <v>0</v>
      </c>
      <c r="E129" s="6">
        <v>0</v>
      </c>
      <c r="F129" s="6">
        <v>0</v>
      </c>
    </row>
    <row r="130" spans="1:23" x14ac:dyDescent="0.3">
      <c r="A130" t="s">
        <v>178</v>
      </c>
      <c r="B130" s="1" t="s">
        <v>179</v>
      </c>
      <c r="C130" s="6">
        <v>28700</v>
      </c>
      <c r="D130" s="6">
        <v>0</v>
      </c>
      <c r="E130" s="6">
        <v>0</v>
      </c>
      <c r="F130" s="6">
        <v>0</v>
      </c>
    </row>
    <row r="131" spans="1:23" x14ac:dyDescent="0.3">
      <c r="C131" s="2" t="s">
        <v>1</v>
      </c>
      <c r="D131" s="2" t="s">
        <v>88</v>
      </c>
      <c r="E131" s="2" t="s">
        <v>89</v>
      </c>
      <c r="F131" s="2" t="s">
        <v>90</v>
      </c>
      <c r="P131" s="4" t="s">
        <v>14</v>
      </c>
      <c r="Q131" s="4" t="s">
        <v>15</v>
      </c>
      <c r="R131" s="4" t="s">
        <v>16</v>
      </c>
      <c r="S131" s="4" t="s">
        <v>17</v>
      </c>
      <c r="T131" s="4" t="s">
        <v>18</v>
      </c>
      <c r="U131" s="4" t="s">
        <v>19</v>
      </c>
      <c r="V131" s="4" t="s">
        <v>20</v>
      </c>
      <c r="W131" s="4" t="s">
        <v>21</v>
      </c>
    </row>
    <row r="132" spans="1:23" x14ac:dyDescent="0.3">
      <c r="A132" t="s">
        <v>180</v>
      </c>
      <c r="B132" s="1" t="s">
        <v>164</v>
      </c>
      <c r="C132" s="6">
        <v>2300</v>
      </c>
      <c r="D132" s="6">
        <v>0</v>
      </c>
      <c r="E132" s="6">
        <v>0</v>
      </c>
      <c r="F132" s="6">
        <v>0</v>
      </c>
    </row>
    <row r="134" spans="1:23" ht="15" x14ac:dyDescent="0.35">
      <c r="A134" s="16" t="s">
        <v>181</v>
      </c>
      <c r="B134" s="1" t="s">
        <v>182</v>
      </c>
      <c r="C134" s="6">
        <v>1500</v>
      </c>
      <c r="V134" t="s">
        <v>183</v>
      </c>
      <c r="W134" s="32" t="s">
        <v>104</v>
      </c>
    </row>
    <row r="135" spans="1:23" ht="15" x14ac:dyDescent="0.35">
      <c r="A135" s="16" t="s">
        <v>184</v>
      </c>
      <c r="B135" s="1" t="s">
        <v>185</v>
      </c>
      <c r="V135" t="s">
        <v>183</v>
      </c>
      <c r="W135" s="32" t="s">
        <v>104</v>
      </c>
    </row>
    <row r="136" spans="1:23" ht="15" x14ac:dyDescent="0.35">
      <c r="A136" s="16" t="s">
        <v>186</v>
      </c>
      <c r="B136" s="1" t="s">
        <v>187</v>
      </c>
      <c r="C136" s="6">
        <v>2350</v>
      </c>
      <c r="V136" t="s">
        <v>183</v>
      </c>
      <c r="W136" s="32" t="s">
        <v>100</v>
      </c>
    </row>
    <row r="137" spans="1:23" ht="15" x14ac:dyDescent="0.35">
      <c r="A137" s="16" t="s">
        <v>188</v>
      </c>
      <c r="B137" s="1" t="s">
        <v>165</v>
      </c>
      <c r="C137" s="6">
        <v>2500</v>
      </c>
      <c r="V137" t="s">
        <v>183</v>
      </c>
      <c r="W137" s="32" t="s">
        <v>100</v>
      </c>
    </row>
    <row r="138" spans="1:23" ht="15" x14ac:dyDescent="0.35">
      <c r="A138" s="16" t="s">
        <v>189</v>
      </c>
      <c r="B138" s="1" t="s">
        <v>165</v>
      </c>
      <c r="C138" s="6">
        <v>3000</v>
      </c>
      <c r="V138" t="s">
        <v>183</v>
      </c>
      <c r="W138" s="32" t="s">
        <v>100</v>
      </c>
    </row>
    <row r="139" spans="1:23" ht="15" x14ac:dyDescent="0.35">
      <c r="A139" s="16" t="s">
        <v>190</v>
      </c>
      <c r="B139" s="1" t="s">
        <v>191</v>
      </c>
      <c r="C139" s="6">
        <v>3900</v>
      </c>
      <c r="V139" t="s">
        <v>183</v>
      </c>
      <c r="W139" s="32" t="s">
        <v>100</v>
      </c>
    </row>
    <row r="141" spans="1:23" x14ac:dyDescent="0.3">
      <c r="A141" t="s">
        <v>192</v>
      </c>
      <c r="C141" s="6">
        <v>99</v>
      </c>
    </row>
    <row r="142" spans="1:23" x14ac:dyDescent="0.3">
      <c r="A142" t="s">
        <v>193</v>
      </c>
      <c r="C142" s="6">
        <v>41.73</v>
      </c>
    </row>
    <row r="143" spans="1:23" x14ac:dyDescent="0.3">
      <c r="A143" t="s">
        <v>194</v>
      </c>
      <c r="C143" s="6">
        <v>29.1</v>
      </c>
    </row>
    <row r="152" spans="1:23" x14ac:dyDescent="0.3">
      <c r="A152" t="s">
        <v>195</v>
      </c>
      <c r="C152" s="6">
        <v>43.877400000000002</v>
      </c>
    </row>
    <row r="153" spans="1:23" x14ac:dyDescent="0.3">
      <c r="A153" t="s">
        <v>196</v>
      </c>
      <c r="C153" s="6">
        <v>15.16</v>
      </c>
    </row>
    <row r="154" spans="1:23" x14ac:dyDescent="0.3">
      <c r="A154" t="s">
        <v>197</v>
      </c>
      <c r="C154" s="6">
        <f>16*1.2</f>
        <v>19.2</v>
      </c>
    </row>
    <row r="155" spans="1:23" x14ac:dyDescent="0.3">
      <c r="A155" t="s">
        <v>198</v>
      </c>
      <c r="C155" s="6">
        <f>21.5*1.1</f>
        <v>23.650000000000002</v>
      </c>
    </row>
    <row r="156" spans="1:23" x14ac:dyDescent="0.3">
      <c r="A156" t="s">
        <v>199</v>
      </c>
      <c r="C156" s="6">
        <v>2.88</v>
      </c>
    </row>
    <row r="157" spans="1:23" x14ac:dyDescent="0.3">
      <c r="P157" s="4" t="s">
        <v>14</v>
      </c>
      <c r="Q157" s="4" t="s">
        <v>15</v>
      </c>
      <c r="R157" s="4" t="s">
        <v>16</v>
      </c>
      <c r="S157" s="4" t="s">
        <v>17</v>
      </c>
      <c r="T157" s="4" t="s">
        <v>18</v>
      </c>
      <c r="U157" s="4" t="s">
        <v>19</v>
      </c>
      <c r="V157" s="4" t="s">
        <v>20</v>
      </c>
      <c r="W157" s="4" t="s">
        <v>21</v>
      </c>
    </row>
    <row r="158" spans="1:23" x14ac:dyDescent="0.3">
      <c r="A158" t="s">
        <v>200</v>
      </c>
      <c r="B158" s="1" t="s">
        <v>201</v>
      </c>
      <c r="C158" s="6">
        <v>102.63</v>
      </c>
      <c r="S158" s="1" t="str">
        <f>"12 a 15 dias"</f>
        <v>12 a 15 dias</v>
      </c>
      <c r="T158" s="8" t="s">
        <v>27</v>
      </c>
      <c r="U158" s="17">
        <v>45198</v>
      </c>
      <c r="V158" t="s">
        <v>202</v>
      </c>
      <c r="W158" s="31" t="s">
        <v>203</v>
      </c>
    </row>
    <row r="159" spans="1:23" x14ac:dyDescent="0.3">
      <c r="A159" t="s">
        <v>200</v>
      </c>
      <c r="B159" s="1" t="s">
        <v>204</v>
      </c>
      <c r="C159" s="10">
        <v>108.87</v>
      </c>
      <c r="S159" s="1" t="str">
        <f t="shared" ref="S159:S230" si="6">"12 a 15 dias"</f>
        <v>12 a 15 dias</v>
      </c>
      <c r="T159" s="8" t="s">
        <v>27</v>
      </c>
      <c r="V159" t="s">
        <v>202</v>
      </c>
      <c r="W159" s="31" t="s">
        <v>203</v>
      </c>
    </row>
    <row r="160" spans="1:23" x14ac:dyDescent="0.3">
      <c r="A160" t="s">
        <v>200</v>
      </c>
      <c r="B160" s="1" t="s">
        <v>205</v>
      </c>
      <c r="C160" s="6">
        <v>94.06</v>
      </c>
      <c r="S160" s="1" t="str">
        <f t="shared" si="6"/>
        <v>12 a 15 dias</v>
      </c>
      <c r="T160" s="8" t="s">
        <v>27</v>
      </c>
      <c r="U160" s="17">
        <v>45351</v>
      </c>
      <c r="V160" t="s">
        <v>202</v>
      </c>
      <c r="W160" s="31" t="s">
        <v>203</v>
      </c>
    </row>
    <row r="161" spans="1:23" x14ac:dyDescent="0.3">
      <c r="A161" t="s">
        <v>200</v>
      </c>
      <c r="B161" s="1" t="s">
        <v>206</v>
      </c>
      <c r="C161" s="6">
        <v>137.46</v>
      </c>
      <c r="D161" s="38"/>
      <c r="S161" s="1" t="str">
        <f t="shared" si="6"/>
        <v>12 a 15 dias</v>
      </c>
      <c r="T161" s="8" t="s">
        <v>27</v>
      </c>
      <c r="U161" s="17">
        <v>45198</v>
      </c>
      <c r="V161" t="s">
        <v>202</v>
      </c>
      <c r="W161" s="31" t="s">
        <v>203</v>
      </c>
    </row>
    <row r="162" spans="1:23" x14ac:dyDescent="0.3">
      <c r="A162" t="s">
        <v>200</v>
      </c>
      <c r="B162" s="1" t="s">
        <v>207</v>
      </c>
      <c r="C162" s="6">
        <v>153</v>
      </c>
      <c r="D162" s="38"/>
      <c r="S162" s="1" t="str">
        <f t="shared" si="6"/>
        <v>12 a 15 dias</v>
      </c>
      <c r="T162" s="8" t="s">
        <v>27</v>
      </c>
      <c r="U162" s="17">
        <v>45098</v>
      </c>
      <c r="V162" t="s">
        <v>202</v>
      </c>
      <c r="W162" s="31" t="s">
        <v>203</v>
      </c>
    </row>
    <row r="163" spans="1:23" x14ac:dyDescent="0.3">
      <c r="A163" t="s">
        <v>200</v>
      </c>
      <c r="B163" s="1" t="s">
        <v>208</v>
      </c>
      <c r="C163" s="6">
        <v>175</v>
      </c>
      <c r="S163" s="1" t="str">
        <f t="shared" si="6"/>
        <v>12 a 15 dias</v>
      </c>
      <c r="T163" s="8" t="s">
        <v>27</v>
      </c>
      <c r="U163" s="17">
        <v>45106</v>
      </c>
      <c r="V163" t="s">
        <v>202</v>
      </c>
      <c r="W163" s="31" t="s">
        <v>203</v>
      </c>
    </row>
    <row r="164" spans="1:23" x14ac:dyDescent="0.3">
      <c r="A164" t="s">
        <v>200</v>
      </c>
      <c r="B164" s="1" t="s">
        <v>209</v>
      </c>
      <c r="C164" s="6">
        <v>244</v>
      </c>
      <c r="S164" s="1" t="str">
        <f t="shared" si="6"/>
        <v>12 a 15 dias</v>
      </c>
      <c r="T164" s="8" t="s">
        <v>27</v>
      </c>
      <c r="U164" s="17">
        <v>45081</v>
      </c>
      <c r="V164" t="s">
        <v>202</v>
      </c>
      <c r="W164" s="31" t="s">
        <v>203</v>
      </c>
    </row>
    <row r="165" spans="1:23" x14ac:dyDescent="0.3">
      <c r="A165" t="s">
        <v>200</v>
      </c>
      <c r="B165" s="1" t="s">
        <v>210</v>
      </c>
      <c r="C165" s="6">
        <v>153</v>
      </c>
      <c r="S165" s="1" t="str">
        <f t="shared" si="6"/>
        <v>12 a 15 dias</v>
      </c>
      <c r="T165" s="8" t="s">
        <v>27</v>
      </c>
      <c r="U165" s="18">
        <v>45098</v>
      </c>
      <c r="V165" t="s">
        <v>202</v>
      </c>
      <c r="W165" s="31" t="s">
        <v>203</v>
      </c>
    </row>
    <row r="166" spans="1:23" x14ac:dyDescent="0.3">
      <c r="A166" t="s">
        <v>200</v>
      </c>
      <c r="B166" s="1" t="s">
        <v>211</v>
      </c>
      <c r="C166" s="6">
        <v>128.07</v>
      </c>
      <c r="S166" s="1" t="str">
        <f t="shared" si="6"/>
        <v>12 a 15 dias</v>
      </c>
      <c r="T166" s="8" t="s">
        <v>27</v>
      </c>
      <c r="U166" s="17">
        <v>45231</v>
      </c>
      <c r="V166" t="s">
        <v>202</v>
      </c>
      <c r="W166" s="31" t="s">
        <v>203</v>
      </c>
    </row>
    <row r="167" spans="1:23" x14ac:dyDescent="0.3">
      <c r="A167" t="s">
        <v>200</v>
      </c>
      <c r="B167" s="1" t="s">
        <v>212</v>
      </c>
      <c r="C167" s="6">
        <v>207</v>
      </c>
      <c r="D167" s="38"/>
      <c r="S167" s="1" t="str">
        <f t="shared" si="6"/>
        <v>12 a 15 dias</v>
      </c>
      <c r="T167" s="8" t="s">
        <v>27</v>
      </c>
      <c r="U167" s="17">
        <v>45098</v>
      </c>
      <c r="V167" t="s">
        <v>202</v>
      </c>
      <c r="W167" s="31" t="s">
        <v>203</v>
      </c>
    </row>
    <row r="168" spans="1:23" x14ac:dyDescent="0.3">
      <c r="A168" t="s">
        <v>200</v>
      </c>
      <c r="B168" s="1" t="s">
        <v>213</v>
      </c>
      <c r="C168" s="10">
        <v>251.49</v>
      </c>
      <c r="S168" s="1" t="str">
        <f t="shared" si="6"/>
        <v>12 a 15 dias</v>
      </c>
      <c r="T168" s="8" t="s">
        <v>27</v>
      </c>
      <c r="V168" t="s">
        <v>202</v>
      </c>
      <c r="W168" s="31" t="s">
        <v>203</v>
      </c>
    </row>
    <row r="169" spans="1:23" x14ac:dyDescent="0.3">
      <c r="A169" t="s">
        <v>200</v>
      </c>
      <c r="B169" s="1" t="s">
        <v>214</v>
      </c>
      <c r="C169" s="6">
        <v>266.74</v>
      </c>
      <c r="S169" s="1" t="str">
        <f t="shared" si="6"/>
        <v>12 a 15 dias</v>
      </c>
      <c r="T169" s="8" t="s">
        <v>27</v>
      </c>
      <c r="U169" s="17">
        <v>45313</v>
      </c>
      <c r="V169" t="s">
        <v>202</v>
      </c>
      <c r="W169" s="31" t="s">
        <v>203</v>
      </c>
    </row>
    <row r="170" spans="1:23" x14ac:dyDescent="0.3">
      <c r="A170" t="s">
        <v>200</v>
      </c>
      <c r="B170" s="1" t="s">
        <v>215</v>
      </c>
      <c r="C170" s="6">
        <v>206.89</v>
      </c>
      <c r="S170" s="1" t="str">
        <f t="shared" si="6"/>
        <v>12 a 15 dias</v>
      </c>
      <c r="T170" s="8" t="s">
        <v>27</v>
      </c>
      <c r="U170" s="17">
        <v>45198</v>
      </c>
      <c r="V170" t="s">
        <v>202</v>
      </c>
      <c r="W170" s="31" t="s">
        <v>203</v>
      </c>
    </row>
    <row r="171" spans="1:23" x14ac:dyDescent="0.3">
      <c r="A171" t="s">
        <v>200</v>
      </c>
      <c r="B171" s="1" t="s">
        <v>216</v>
      </c>
      <c r="C171" s="10">
        <v>242.18</v>
      </c>
      <c r="S171" s="1" t="str">
        <f t="shared" si="6"/>
        <v>12 a 15 dias</v>
      </c>
      <c r="T171" s="8" t="s">
        <v>27</v>
      </c>
      <c r="V171" t="s">
        <v>202</v>
      </c>
      <c r="W171" s="31" t="s">
        <v>203</v>
      </c>
    </row>
    <row r="172" spans="1:23" x14ac:dyDescent="0.3">
      <c r="A172" t="s">
        <v>200</v>
      </c>
      <c r="B172" s="1" t="s">
        <v>217</v>
      </c>
      <c r="C172" s="6">
        <v>267</v>
      </c>
      <c r="S172" s="1" t="str">
        <f t="shared" si="6"/>
        <v>12 a 15 dias</v>
      </c>
      <c r="T172" s="8" t="s">
        <v>27</v>
      </c>
      <c r="V172" t="s">
        <v>202</v>
      </c>
      <c r="W172" s="31" t="s">
        <v>203</v>
      </c>
    </row>
    <row r="173" spans="1:23" x14ac:dyDescent="0.3">
      <c r="A173" t="s">
        <v>200</v>
      </c>
      <c r="B173" s="1" t="s">
        <v>218</v>
      </c>
      <c r="C173" s="6">
        <v>365</v>
      </c>
      <c r="S173" s="1" t="str">
        <f t="shared" si="6"/>
        <v>12 a 15 dias</v>
      </c>
      <c r="T173" s="8" t="s">
        <v>27</v>
      </c>
      <c r="U173" s="17">
        <v>45050</v>
      </c>
      <c r="V173" t="s">
        <v>202</v>
      </c>
      <c r="W173" s="31" t="s">
        <v>203</v>
      </c>
    </row>
    <row r="174" spans="1:23" x14ac:dyDescent="0.3">
      <c r="A174" t="s">
        <v>200</v>
      </c>
      <c r="B174" s="1" t="s">
        <v>219</v>
      </c>
      <c r="C174" s="6">
        <v>466</v>
      </c>
      <c r="S174" s="1" t="str">
        <f t="shared" si="6"/>
        <v>12 a 15 dias</v>
      </c>
      <c r="T174" s="8" t="s">
        <v>27</v>
      </c>
      <c r="U174" s="17">
        <v>45001</v>
      </c>
      <c r="V174" t="s">
        <v>202</v>
      </c>
      <c r="W174" s="31" t="s">
        <v>203</v>
      </c>
    </row>
    <row r="175" spans="1:23" x14ac:dyDescent="0.3">
      <c r="A175" t="s">
        <v>200</v>
      </c>
      <c r="B175" s="1" t="s">
        <v>220</v>
      </c>
      <c r="C175" s="6">
        <v>379.02</v>
      </c>
      <c r="S175" s="1" t="str">
        <f t="shared" si="6"/>
        <v>12 a 15 dias</v>
      </c>
      <c r="T175" s="8" t="s">
        <v>27</v>
      </c>
      <c r="U175" s="17">
        <v>45350</v>
      </c>
      <c r="V175" t="s">
        <v>202</v>
      </c>
      <c r="W175" s="31" t="s">
        <v>203</v>
      </c>
    </row>
    <row r="176" spans="1:23" x14ac:dyDescent="0.3">
      <c r="A176" t="s">
        <v>200</v>
      </c>
      <c r="B176" s="1" t="s">
        <v>221</v>
      </c>
      <c r="C176" s="6">
        <v>241.72</v>
      </c>
      <c r="S176" s="1" t="str">
        <f t="shared" si="6"/>
        <v>12 a 15 dias</v>
      </c>
      <c r="T176" s="8" t="s">
        <v>27</v>
      </c>
      <c r="U176" s="17">
        <v>45198</v>
      </c>
      <c r="V176" t="s">
        <v>202</v>
      </c>
      <c r="W176" s="31" t="s">
        <v>203</v>
      </c>
    </row>
    <row r="177" spans="1:23" x14ac:dyDescent="0.3">
      <c r="A177" t="s">
        <v>200</v>
      </c>
      <c r="B177" s="1" t="s">
        <v>222</v>
      </c>
      <c r="C177" s="6">
        <v>181.69</v>
      </c>
      <c r="S177" s="1" t="str">
        <f t="shared" si="6"/>
        <v>12 a 15 dias</v>
      </c>
      <c r="T177" s="8" t="s">
        <v>27</v>
      </c>
      <c r="U177" s="17">
        <v>45231</v>
      </c>
      <c r="V177" t="s">
        <v>202</v>
      </c>
      <c r="W177" s="31" t="s">
        <v>203</v>
      </c>
    </row>
    <row r="178" spans="1:23" x14ac:dyDescent="0.3">
      <c r="A178" t="s">
        <v>200</v>
      </c>
      <c r="B178" s="1" t="s">
        <v>223</v>
      </c>
      <c r="C178" s="10">
        <v>239.9</v>
      </c>
      <c r="S178" s="1" t="str">
        <f t="shared" si="6"/>
        <v>12 a 15 dias</v>
      </c>
      <c r="T178" s="8" t="s">
        <v>27</v>
      </c>
      <c r="V178" t="s">
        <v>202</v>
      </c>
      <c r="W178" s="31" t="s">
        <v>203</v>
      </c>
    </row>
    <row r="179" spans="1:23" x14ac:dyDescent="0.3">
      <c r="A179" t="s">
        <v>200</v>
      </c>
      <c r="B179" s="1" t="s">
        <v>224</v>
      </c>
      <c r="C179" s="6">
        <v>437</v>
      </c>
      <c r="S179" s="1" t="str">
        <f t="shared" si="6"/>
        <v>12 a 15 dias</v>
      </c>
      <c r="T179" s="8" t="s">
        <v>27</v>
      </c>
      <c r="U179" s="17">
        <v>45001</v>
      </c>
      <c r="V179" t="s">
        <v>202</v>
      </c>
      <c r="W179" s="31" t="s">
        <v>203</v>
      </c>
    </row>
    <row r="180" spans="1:23" x14ac:dyDescent="0.3">
      <c r="A180" t="s">
        <v>200</v>
      </c>
      <c r="B180" s="1" t="s">
        <v>225</v>
      </c>
      <c r="C180" s="6">
        <v>546</v>
      </c>
      <c r="S180" s="1" t="str">
        <f t="shared" si="6"/>
        <v>12 a 15 dias</v>
      </c>
      <c r="T180" s="8" t="s">
        <v>27</v>
      </c>
      <c r="U180" s="17">
        <v>45106</v>
      </c>
      <c r="V180" t="s">
        <v>202</v>
      </c>
      <c r="W180" s="31" t="s">
        <v>203</v>
      </c>
    </row>
    <row r="181" spans="1:23" x14ac:dyDescent="0.3">
      <c r="A181" t="s">
        <v>200</v>
      </c>
      <c r="B181" s="1" t="s">
        <v>226</v>
      </c>
      <c r="C181" s="6">
        <v>456.71</v>
      </c>
      <c r="S181" s="1" t="str">
        <f t="shared" si="6"/>
        <v>12 a 15 dias</v>
      </c>
      <c r="T181" s="8" t="s">
        <v>27</v>
      </c>
      <c r="U181" s="17">
        <v>45231</v>
      </c>
      <c r="V181" t="s">
        <v>202</v>
      </c>
      <c r="W181" s="31" t="s">
        <v>203</v>
      </c>
    </row>
    <row r="182" spans="1:23" x14ac:dyDescent="0.3">
      <c r="A182" t="s">
        <v>200</v>
      </c>
      <c r="B182" s="1" t="s">
        <v>227</v>
      </c>
      <c r="C182" s="6">
        <v>199.32</v>
      </c>
      <c r="S182" s="1" t="str">
        <f t="shared" si="6"/>
        <v>12 a 15 dias</v>
      </c>
      <c r="T182" s="8" t="s">
        <v>27</v>
      </c>
      <c r="U182" s="17">
        <v>45350</v>
      </c>
      <c r="V182" t="s">
        <v>202</v>
      </c>
      <c r="W182" s="31" t="s">
        <v>203</v>
      </c>
    </row>
    <row r="183" spans="1:23" x14ac:dyDescent="0.3">
      <c r="A183" t="s">
        <v>200</v>
      </c>
      <c r="B183" s="1" t="s">
        <v>228</v>
      </c>
      <c r="C183" s="6">
        <v>338</v>
      </c>
      <c r="S183" s="1" t="str">
        <f t="shared" si="6"/>
        <v>12 a 15 dias</v>
      </c>
      <c r="T183" s="8" t="s">
        <v>27</v>
      </c>
      <c r="U183" s="17">
        <v>45001</v>
      </c>
      <c r="V183" t="s">
        <v>202</v>
      </c>
      <c r="W183" s="31" t="s">
        <v>203</v>
      </c>
    </row>
    <row r="184" spans="1:23" x14ac:dyDescent="0.3">
      <c r="A184" t="s">
        <v>200</v>
      </c>
      <c r="B184" s="1" t="s">
        <v>229</v>
      </c>
      <c r="C184" s="6">
        <v>423</v>
      </c>
      <c r="S184" s="1" t="str">
        <f t="shared" si="6"/>
        <v>12 a 15 dias</v>
      </c>
      <c r="T184" s="8" t="s">
        <v>27</v>
      </c>
      <c r="U184" s="17">
        <v>45098</v>
      </c>
      <c r="V184" t="s">
        <v>202</v>
      </c>
      <c r="W184" s="31" t="s">
        <v>203</v>
      </c>
    </row>
    <row r="185" spans="1:23" x14ac:dyDescent="0.3">
      <c r="A185" t="s">
        <v>200</v>
      </c>
      <c r="B185" s="1" t="s">
        <v>230</v>
      </c>
      <c r="C185" s="6">
        <v>565</v>
      </c>
      <c r="S185" s="1" t="str">
        <f t="shared" si="6"/>
        <v>12 a 15 dias</v>
      </c>
      <c r="T185" s="8" t="s">
        <v>27</v>
      </c>
      <c r="U185" s="17">
        <v>45001</v>
      </c>
      <c r="V185" t="s">
        <v>202</v>
      </c>
      <c r="W185" s="31" t="s">
        <v>203</v>
      </c>
    </row>
    <row r="186" spans="1:23" x14ac:dyDescent="0.3">
      <c r="A186" t="s">
        <v>200</v>
      </c>
      <c r="B186" s="1" t="s">
        <v>231</v>
      </c>
      <c r="C186" s="6">
        <v>508.56</v>
      </c>
      <c r="S186" s="1" t="str">
        <f t="shared" si="6"/>
        <v>12 a 15 dias</v>
      </c>
      <c r="T186" s="8" t="s">
        <v>27</v>
      </c>
      <c r="U186" s="17">
        <v>45231</v>
      </c>
      <c r="V186" t="s">
        <v>202</v>
      </c>
      <c r="W186" s="31" t="s">
        <v>203</v>
      </c>
    </row>
    <row r="187" spans="1:23" x14ac:dyDescent="0.3">
      <c r="A187" t="s">
        <v>200</v>
      </c>
      <c r="B187" s="1" t="s">
        <v>232</v>
      </c>
      <c r="C187" s="6">
        <v>848</v>
      </c>
      <c r="S187" s="1" t="str">
        <f t="shared" si="6"/>
        <v>12 a 15 dias</v>
      </c>
      <c r="T187" s="8" t="s">
        <v>27</v>
      </c>
      <c r="U187" s="17">
        <v>45106</v>
      </c>
      <c r="V187" t="s">
        <v>202</v>
      </c>
      <c r="W187" s="31" t="s">
        <v>203</v>
      </c>
    </row>
    <row r="188" spans="1:23" x14ac:dyDescent="0.3">
      <c r="A188" t="s">
        <v>200</v>
      </c>
      <c r="B188" s="1" t="s">
        <v>233</v>
      </c>
      <c r="S188" s="1" t="str">
        <f t="shared" si="6"/>
        <v>12 a 15 dias</v>
      </c>
      <c r="T188" s="8" t="s">
        <v>27</v>
      </c>
      <c r="V188" t="s">
        <v>202</v>
      </c>
      <c r="W188" s="31" t="s">
        <v>203</v>
      </c>
    </row>
    <row r="189" spans="1:23" x14ac:dyDescent="0.3">
      <c r="A189" t="s">
        <v>200</v>
      </c>
      <c r="B189" s="1" t="s">
        <v>234</v>
      </c>
      <c r="C189" s="6">
        <v>451.64</v>
      </c>
      <c r="S189" s="1" t="str">
        <f t="shared" si="6"/>
        <v>12 a 15 dias</v>
      </c>
      <c r="T189" s="8" t="s">
        <v>27</v>
      </c>
      <c r="U189" s="17">
        <v>45198</v>
      </c>
      <c r="V189" t="s">
        <v>202</v>
      </c>
      <c r="W189" s="31" t="s">
        <v>203</v>
      </c>
    </row>
    <row r="190" spans="1:23" ht="17.25" customHeight="1" x14ac:dyDescent="0.3">
      <c r="A190" t="s">
        <v>200</v>
      </c>
      <c r="B190" s="1" t="s">
        <v>235</v>
      </c>
      <c r="C190" s="10">
        <v>495.2</v>
      </c>
      <c r="S190" s="1" t="str">
        <f t="shared" si="6"/>
        <v>12 a 15 dias</v>
      </c>
      <c r="T190" s="8" t="s">
        <v>27</v>
      </c>
      <c r="V190" t="s">
        <v>202</v>
      </c>
      <c r="W190" s="31" t="s">
        <v>203</v>
      </c>
    </row>
    <row r="191" spans="1:23" ht="17.25" customHeight="1" x14ac:dyDescent="0.3">
      <c r="A191" t="s">
        <v>200</v>
      </c>
      <c r="B191" s="1" t="s">
        <v>236</v>
      </c>
      <c r="C191" s="10">
        <v>689</v>
      </c>
      <c r="S191" s="1" t="str">
        <f t="shared" si="6"/>
        <v>12 a 15 dias</v>
      </c>
      <c r="T191" s="8" t="s">
        <v>27</v>
      </c>
      <c r="V191" t="s">
        <v>202</v>
      </c>
      <c r="W191" s="31" t="s">
        <v>203</v>
      </c>
    </row>
    <row r="192" spans="1:23" ht="17.25" customHeight="1" x14ac:dyDescent="0.3">
      <c r="A192" t="s">
        <v>200</v>
      </c>
      <c r="B192" s="1" t="s">
        <v>237</v>
      </c>
      <c r="C192" s="10">
        <v>867</v>
      </c>
      <c r="S192" s="1" t="str">
        <f t="shared" si="6"/>
        <v>12 a 15 dias</v>
      </c>
      <c r="T192" s="8" t="s">
        <v>27</v>
      </c>
      <c r="U192" s="17">
        <v>45001</v>
      </c>
      <c r="V192" t="s">
        <v>202</v>
      </c>
      <c r="W192" s="31" t="s">
        <v>203</v>
      </c>
    </row>
    <row r="193" spans="1:23" ht="17.25" customHeight="1" x14ac:dyDescent="0.3">
      <c r="A193" t="s">
        <v>200</v>
      </c>
      <c r="B193" s="1" t="s">
        <v>238</v>
      </c>
      <c r="C193" s="6">
        <v>1041</v>
      </c>
      <c r="S193" s="1" t="str">
        <f t="shared" si="6"/>
        <v>12 a 15 dias</v>
      </c>
      <c r="T193" s="8" t="s">
        <v>27</v>
      </c>
      <c r="U193" s="17">
        <v>45001</v>
      </c>
      <c r="V193" t="s">
        <v>202</v>
      </c>
      <c r="W193" s="31" t="s">
        <v>203</v>
      </c>
    </row>
    <row r="194" spans="1:23" ht="17.25" customHeight="1" x14ac:dyDescent="0.3">
      <c r="A194" t="s">
        <v>200</v>
      </c>
      <c r="B194" s="1" t="s">
        <v>239</v>
      </c>
      <c r="C194" s="6">
        <v>533.84</v>
      </c>
      <c r="S194" s="1" t="str">
        <f t="shared" si="6"/>
        <v>12 a 15 dias</v>
      </c>
      <c r="T194" s="8" t="s">
        <v>27</v>
      </c>
      <c r="U194" s="17">
        <v>45198</v>
      </c>
      <c r="V194" t="s">
        <v>202</v>
      </c>
      <c r="W194" s="31" t="s">
        <v>203</v>
      </c>
    </row>
    <row r="195" spans="1:23" ht="17.25" customHeight="1" x14ac:dyDescent="0.3">
      <c r="A195" t="s">
        <v>200</v>
      </c>
      <c r="B195" s="1" t="s">
        <v>240</v>
      </c>
      <c r="C195" s="10">
        <v>674.63</v>
      </c>
      <c r="S195" s="1" t="str">
        <f t="shared" si="6"/>
        <v>12 a 15 dias</v>
      </c>
      <c r="T195" s="8" t="s">
        <v>27</v>
      </c>
      <c r="U195" s="17"/>
      <c r="V195" t="s">
        <v>202</v>
      </c>
      <c r="W195" s="31" t="s">
        <v>203</v>
      </c>
    </row>
    <row r="196" spans="1:23" ht="17.25" customHeight="1" x14ac:dyDescent="0.3">
      <c r="A196" t="s">
        <v>200</v>
      </c>
      <c r="B196" s="1" t="s">
        <v>241</v>
      </c>
      <c r="C196" s="10">
        <v>858.61</v>
      </c>
      <c r="S196" s="1" t="str">
        <f t="shared" si="6"/>
        <v>12 a 15 dias</v>
      </c>
      <c r="T196" s="8" t="s">
        <v>27</v>
      </c>
      <c r="U196" s="17"/>
      <c r="V196" t="s">
        <v>202</v>
      </c>
      <c r="W196" s="31" t="s">
        <v>203</v>
      </c>
    </row>
    <row r="197" spans="1:23" ht="17.25" customHeight="1" x14ac:dyDescent="0.3">
      <c r="A197" t="s">
        <v>200</v>
      </c>
      <c r="B197" s="1" t="s">
        <v>242</v>
      </c>
      <c r="C197" s="10">
        <v>1092.1400000000001</v>
      </c>
      <c r="S197" s="1" t="str">
        <f t="shared" si="6"/>
        <v>12 a 15 dias</v>
      </c>
      <c r="T197" s="8" t="s">
        <v>27</v>
      </c>
      <c r="U197" s="17"/>
      <c r="V197" t="s">
        <v>202</v>
      </c>
      <c r="W197" s="31" t="s">
        <v>203</v>
      </c>
    </row>
    <row r="198" spans="1:23" ht="17.25" customHeight="1" x14ac:dyDescent="0.3">
      <c r="A198" t="s">
        <v>200</v>
      </c>
      <c r="B198" s="1" t="s">
        <v>243</v>
      </c>
      <c r="C198" s="10">
        <v>1234.76</v>
      </c>
      <c r="S198" s="1" t="str">
        <f t="shared" si="6"/>
        <v>12 a 15 dias</v>
      </c>
      <c r="T198" s="8" t="s">
        <v>27</v>
      </c>
      <c r="V198" t="s">
        <v>202</v>
      </c>
      <c r="W198" s="31" t="s">
        <v>203</v>
      </c>
    </row>
    <row r="199" spans="1:23" ht="17.25" customHeight="1" x14ac:dyDescent="0.3">
      <c r="A199" t="s">
        <v>200</v>
      </c>
      <c r="B199" s="1" t="s">
        <v>244</v>
      </c>
      <c r="C199" s="6">
        <v>1286.3399999999999</v>
      </c>
      <c r="E199" s="38"/>
      <c r="S199" s="1" t="str">
        <f t="shared" si="6"/>
        <v>12 a 15 dias</v>
      </c>
      <c r="T199" s="8" t="s">
        <v>27</v>
      </c>
      <c r="U199" s="17">
        <v>45198</v>
      </c>
      <c r="V199" t="s">
        <v>202</v>
      </c>
      <c r="W199" s="31" t="s">
        <v>203</v>
      </c>
    </row>
    <row r="200" spans="1:23" ht="17.25" customHeight="1" x14ac:dyDescent="0.3">
      <c r="T200" s="8"/>
    </row>
    <row r="201" spans="1:23" x14ac:dyDescent="0.3">
      <c r="T201" s="8"/>
    </row>
    <row r="202" spans="1:23" x14ac:dyDescent="0.3">
      <c r="A202" t="s">
        <v>245</v>
      </c>
      <c r="B202" s="1" t="s">
        <v>201</v>
      </c>
      <c r="C202" s="6">
        <v>66.319999999999993</v>
      </c>
      <c r="S202" s="1" t="str">
        <f t="shared" si="6"/>
        <v>12 a 15 dias</v>
      </c>
      <c r="T202" s="8" t="s">
        <v>27</v>
      </c>
      <c r="U202" s="17">
        <v>45313</v>
      </c>
      <c r="V202" t="s">
        <v>202</v>
      </c>
      <c r="W202" s="31" t="s">
        <v>203</v>
      </c>
    </row>
    <row r="203" spans="1:23" x14ac:dyDescent="0.3">
      <c r="A203" t="s">
        <v>245</v>
      </c>
      <c r="B203" s="1" t="s">
        <v>204</v>
      </c>
      <c r="S203" s="1" t="str">
        <f t="shared" si="6"/>
        <v>12 a 15 dias</v>
      </c>
      <c r="T203" s="8" t="s">
        <v>27</v>
      </c>
      <c r="V203" t="s">
        <v>202</v>
      </c>
      <c r="W203" s="31" t="s">
        <v>203</v>
      </c>
    </row>
    <row r="204" spans="1:23" x14ac:dyDescent="0.3">
      <c r="A204" t="s">
        <v>245</v>
      </c>
      <c r="B204" s="1" t="s">
        <v>205</v>
      </c>
      <c r="C204" s="6">
        <v>94.9</v>
      </c>
      <c r="S204" s="1" t="str">
        <f t="shared" si="6"/>
        <v>12 a 15 dias</v>
      </c>
      <c r="T204" s="8" t="s">
        <v>27</v>
      </c>
      <c r="U204" s="17">
        <v>45313</v>
      </c>
      <c r="V204" t="s">
        <v>202</v>
      </c>
      <c r="W204" s="31" t="s">
        <v>203</v>
      </c>
    </row>
    <row r="205" spans="1:23" x14ac:dyDescent="0.3">
      <c r="A205" t="s">
        <v>245</v>
      </c>
      <c r="B205" s="1" t="s">
        <v>206</v>
      </c>
      <c r="C205" s="6">
        <v>89.43</v>
      </c>
      <c r="S205" s="1" t="str">
        <f t="shared" si="6"/>
        <v>12 a 15 dias</v>
      </c>
      <c r="T205" s="8" t="s">
        <v>27</v>
      </c>
      <c r="U205" s="17">
        <v>45313</v>
      </c>
      <c r="V205" t="s">
        <v>202</v>
      </c>
      <c r="W205" s="31" t="s">
        <v>203</v>
      </c>
    </row>
    <row r="206" spans="1:23" x14ac:dyDescent="0.3">
      <c r="A206" t="s">
        <v>245</v>
      </c>
      <c r="B206" s="1" t="s">
        <v>207</v>
      </c>
      <c r="S206" s="1" t="str">
        <f t="shared" si="6"/>
        <v>12 a 15 dias</v>
      </c>
      <c r="T206" s="8" t="s">
        <v>27</v>
      </c>
      <c r="V206" t="s">
        <v>202</v>
      </c>
      <c r="W206" s="31" t="s">
        <v>203</v>
      </c>
    </row>
    <row r="207" spans="1:23" x14ac:dyDescent="0.3">
      <c r="A207" t="s">
        <v>245</v>
      </c>
      <c r="B207" s="1" t="s">
        <v>208</v>
      </c>
      <c r="S207" s="1" t="str">
        <f t="shared" si="6"/>
        <v>12 a 15 dias</v>
      </c>
      <c r="T207" s="8" t="s">
        <v>27</v>
      </c>
      <c r="V207" t="s">
        <v>202</v>
      </c>
      <c r="W207" s="31" t="s">
        <v>203</v>
      </c>
    </row>
    <row r="208" spans="1:23" x14ac:dyDescent="0.3">
      <c r="A208" t="s">
        <v>245</v>
      </c>
      <c r="B208" s="1" t="s">
        <v>209</v>
      </c>
      <c r="C208" s="6">
        <v>167.66</v>
      </c>
      <c r="S208" s="1" t="str">
        <f t="shared" si="6"/>
        <v>12 a 15 dias</v>
      </c>
      <c r="T208" s="8" t="s">
        <v>27</v>
      </c>
      <c r="U208" s="17">
        <v>45313</v>
      </c>
      <c r="V208" t="s">
        <v>202</v>
      </c>
      <c r="W208" s="31" t="s">
        <v>203</v>
      </c>
    </row>
    <row r="209" spans="1:23" x14ac:dyDescent="0.3">
      <c r="A209" t="s">
        <v>245</v>
      </c>
      <c r="B209" s="1" t="s">
        <v>210</v>
      </c>
      <c r="C209" s="6">
        <v>110.56</v>
      </c>
      <c r="S209" s="1" t="str">
        <f t="shared" si="6"/>
        <v>12 a 15 dias</v>
      </c>
      <c r="T209" s="8" t="s">
        <v>27</v>
      </c>
      <c r="U209" s="17">
        <v>45350</v>
      </c>
      <c r="V209" t="s">
        <v>202</v>
      </c>
      <c r="W209" s="31" t="s">
        <v>203</v>
      </c>
    </row>
    <row r="210" spans="1:23" x14ac:dyDescent="0.3">
      <c r="A210" t="s">
        <v>245</v>
      </c>
      <c r="B210" s="1" t="s">
        <v>211</v>
      </c>
      <c r="C210" s="6">
        <v>132.65</v>
      </c>
      <c r="S210" s="1" t="str">
        <f t="shared" si="6"/>
        <v>12 a 15 dias</v>
      </c>
      <c r="T210" s="8" t="s">
        <v>27</v>
      </c>
      <c r="U210" s="17">
        <v>45231</v>
      </c>
      <c r="V210" t="s">
        <v>202</v>
      </c>
      <c r="W210" s="31" t="s">
        <v>203</v>
      </c>
    </row>
    <row r="211" spans="1:23" x14ac:dyDescent="0.3">
      <c r="A211" t="s">
        <v>245</v>
      </c>
      <c r="B211" s="1" t="s">
        <v>212</v>
      </c>
      <c r="S211" s="1" t="str">
        <f t="shared" si="6"/>
        <v>12 a 15 dias</v>
      </c>
      <c r="T211" s="8" t="s">
        <v>27</v>
      </c>
      <c r="V211" t="s">
        <v>202</v>
      </c>
      <c r="W211" s="31" t="s">
        <v>203</v>
      </c>
    </row>
    <row r="212" spans="1:23" x14ac:dyDescent="0.3">
      <c r="A212" t="s">
        <v>245</v>
      </c>
      <c r="B212" s="1" t="s">
        <v>213</v>
      </c>
      <c r="C212" s="6">
        <v>267</v>
      </c>
      <c r="S212" s="1" t="str">
        <f t="shared" si="6"/>
        <v>12 a 15 dias</v>
      </c>
      <c r="T212" s="8" t="s">
        <v>27</v>
      </c>
      <c r="U212" s="17">
        <v>44965</v>
      </c>
      <c r="V212" t="s">
        <v>202</v>
      </c>
      <c r="W212" s="31" t="s">
        <v>203</v>
      </c>
    </row>
    <row r="213" spans="1:23" x14ac:dyDescent="0.3">
      <c r="A213" t="s">
        <v>245</v>
      </c>
      <c r="B213" s="1" t="s">
        <v>214</v>
      </c>
      <c r="C213" s="6">
        <v>256.72000000000003</v>
      </c>
      <c r="S213" s="1" t="str">
        <f t="shared" si="6"/>
        <v>12 a 15 dias</v>
      </c>
      <c r="T213" s="8" t="s">
        <v>27</v>
      </c>
      <c r="U213" s="17">
        <v>45350</v>
      </c>
      <c r="V213" t="s">
        <v>202</v>
      </c>
      <c r="W213" s="31" t="s">
        <v>203</v>
      </c>
    </row>
    <row r="214" spans="1:23" x14ac:dyDescent="0.3">
      <c r="A214" t="s">
        <v>245</v>
      </c>
      <c r="B214" s="1" t="s">
        <v>215</v>
      </c>
      <c r="C214" s="6">
        <v>134.16</v>
      </c>
      <c r="S214" s="1" t="str">
        <f t="shared" si="6"/>
        <v>12 a 15 dias</v>
      </c>
      <c r="T214" s="8" t="s">
        <v>27</v>
      </c>
      <c r="U214" s="17">
        <v>45340</v>
      </c>
      <c r="V214" t="s">
        <v>202</v>
      </c>
      <c r="W214" s="31" t="s">
        <v>203</v>
      </c>
    </row>
    <row r="215" spans="1:23" x14ac:dyDescent="0.3">
      <c r="A215" t="s">
        <v>245</v>
      </c>
      <c r="B215" s="1" t="s">
        <v>216</v>
      </c>
      <c r="S215" s="1" t="str">
        <f t="shared" si="6"/>
        <v>12 a 15 dias</v>
      </c>
      <c r="T215" s="8" t="s">
        <v>27</v>
      </c>
      <c r="V215" t="s">
        <v>202</v>
      </c>
      <c r="W215" s="31" t="s">
        <v>203</v>
      </c>
    </row>
    <row r="216" spans="1:23" x14ac:dyDescent="0.3">
      <c r="A216" t="s">
        <v>245</v>
      </c>
      <c r="B216" s="1" t="s">
        <v>217</v>
      </c>
      <c r="S216" s="1" t="str">
        <f t="shared" si="6"/>
        <v>12 a 15 dias</v>
      </c>
      <c r="T216" s="8" t="s">
        <v>27</v>
      </c>
      <c r="V216" t="s">
        <v>202</v>
      </c>
      <c r="W216" s="31" t="s">
        <v>203</v>
      </c>
    </row>
    <row r="217" spans="1:23" x14ac:dyDescent="0.3">
      <c r="A217" t="s">
        <v>245</v>
      </c>
      <c r="B217" s="1" t="s">
        <v>218</v>
      </c>
      <c r="S217" s="1" t="str">
        <f t="shared" si="6"/>
        <v>12 a 15 dias</v>
      </c>
      <c r="T217" s="8" t="s">
        <v>27</v>
      </c>
      <c r="V217" t="s">
        <v>202</v>
      </c>
      <c r="W217" s="31" t="s">
        <v>203</v>
      </c>
    </row>
    <row r="218" spans="1:23" x14ac:dyDescent="0.3">
      <c r="A218" t="s">
        <v>245</v>
      </c>
      <c r="B218" s="1" t="s">
        <v>219</v>
      </c>
      <c r="S218" s="1" t="str">
        <f t="shared" si="6"/>
        <v>12 a 15 dias</v>
      </c>
      <c r="T218" s="8" t="s">
        <v>27</v>
      </c>
      <c r="V218" t="s">
        <v>202</v>
      </c>
      <c r="W218" s="31" t="s">
        <v>203</v>
      </c>
    </row>
    <row r="219" spans="1:23" x14ac:dyDescent="0.3">
      <c r="A219" t="s">
        <v>245</v>
      </c>
      <c r="B219" s="1" t="s">
        <v>220</v>
      </c>
      <c r="C219" s="6">
        <v>356.76</v>
      </c>
      <c r="S219" s="1" t="str">
        <f t="shared" si="6"/>
        <v>12 a 15 dias</v>
      </c>
      <c r="T219" s="8" t="s">
        <v>27</v>
      </c>
      <c r="U219" s="17">
        <v>45350</v>
      </c>
      <c r="V219" t="s">
        <v>202</v>
      </c>
      <c r="W219" s="31" t="s">
        <v>203</v>
      </c>
    </row>
    <row r="220" spans="1:23" x14ac:dyDescent="0.3">
      <c r="A220" t="s">
        <v>245</v>
      </c>
      <c r="B220" s="1" t="s">
        <v>221</v>
      </c>
      <c r="S220" s="1" t="str">
        <f t="shared" si="6"/>
        <v>12 a 15 dias</v>
      </c>
      <c r="T220" s="8" t="s">
        <v>27</v>
      </c>
      <c r="V220" t="s">
        <v>202</v>
      </c>
      <c r="W220" s="31" t="s">
        <v>203</v>
      </c>
    </row>
    <row r="221" spans="1:23" x14ac:dyDescent="0.3">
      <c r="A221" t="s">
        <v>245</v>
      </c>
      <c r="B221" s="1" t="s">
        <v>222</v>
      </c>
      <c r="C221" s="6">
        <v>187.7</v>
      </c>
      <c r="S221" s="1" t="str">
        <f t="shared" si="6"/>
        <v>12 a 15 dias</v>
      </c>
      <c r="T221" s="8" t="s">
        <v>27</v>
      </c>
      <c r="U221" s="17">
        <v>45231</v>
      </c>
      <c r="V221" t="s">
        <v>202</v>
      </c>
      <c r="W221" s="31" t="s">
        <v>203</v>
      </c>
    </row>
    <row r="222" spans="1:23" x14ac:dyDescent="0.3">
      <c r="A222" t="s">
        <v>245</v>
      </c>
      <c r="B222" s="1" t="s">
        <v>223</v>
      </c>
      <c r="S222" s="1" t="str">
        <f t="shared" si="6"/>
        <v>12 a 15 dias</v>
      </c>
      <c r="T222" s="8" t="s">
        <v>27</v>
      </c>
      <c r="V222" t="s">
        <v>202</v>
      </c>
      <c r="W222" s="31" t="s">
        <v>203</v>
      </c>
    </row>
    <row r="223" spans="1:23" x14ac:dyDescent="0.3">
      <c r="A223" t="s">
        <v>245</v>
      </c>
      <c r="B223" s="1" t="s">
        <v>224</v>
      </c>
      <c r="S223" s="1" t="str">
        <f t="shared" si="6"/>
        <v>12 a 15 dias</v>
      </c>
      <c r="T223" s="8" t="s">
        <v>27</v>
      </c>
      <c r="V223" t="s">
        <v>202</v>
      </c>
      <c r="W223" s="31" t="s">
        <v>203</v>
      </c>
    </row>
    <row r="224" spans="1:23" x14ac:dyDescent="0.3">
      <c r="A224" t="s">
        <v>245</v>
      </c>
      <c r="B224" s="1" t="s">
        <v>225</v>
      </c>
      <c r="S224" s="1" t="str">
        <f t="shared" si="6"/>
        <v>12 a 15 dias</v>
      </c>
      <c r="T224" s="8" t="s">
        <v>27</v>
      </c>
      <c r="V224" t="s">
        <v>202</v>
      </c>
      <c r="W224" s="31" t="s">
        <v>203</v>
      </c>
    </row>
    <row r="225" spans="1:23" x14ac:dyDescent="0.3">
      <c r="A225" t="s">
        <v>245</v>
      </c>
      <c r="B225" s="1" t="s">
        <v>226</v>
      </c>
      <c r="C225" s="6">
        <v>431.68</v>
      </c>
      <c r="S225" s="1" t="str">
        <f t="shared" si="6"/>
        <v>12 a 15 dias</v>
      </c>
      <c r="T225" s="8" t="s">
        <v>27</v>
      </c>
      <c r="U225" s="17">
        <v>45231</v>
      </c>
      <c r="W225" s="31" t="s">
        <v>203</v>
      </c>
    </row>
    <row r="226" spans="1:23" x14ac:dyDescent="0.3">
      <c r="A226" t="s">
        <v>245</v>
      </c>
      <c r="B226" s="1" t="s">
        <v>227</v>
      </c>
      <c r="C226" s="6">
        <v>209.83</v>
      </c>
      <c r="S226" s="1" t="str">
        <f t="shared" si="6"/>
        <v>12 a 15 dias</v>
      </c>
      <c r="T226" s="8" t="s">
        <v>27</v>
      </c>
      <c r="U226" s="17">
        <v>45313</v>
      </c>
      <c r="V226" t="s">
        <v>202</v>
      </c>
      <c r="W226" s="31" t="s">
        <v>203</v>
      </c>
    </row>
    <row r="227" spans="1:23" x14ac:dyDescent="0.3">
      <c r="A227" t="s">
        <v>245</v>
      </c>
      <c r="B227" s="1" t="s">
        <v>228</v>
      </c>
      <c r="S227" s="1" t="str">
        <f t="shared" si="6"/>
        <v>12 a 15 dias</v>
      </c>
      <c r="T227" s="8" t="s">
        <v>27</v>
      </c>
      <c r="V227" t="s">
        <v>202</v>
      </c>
      <c r="W227" s="31" t="s">
        <v>203</v>
      </c>
    </row>
    <row r="228" spans="1:23" x14ac:dyDescent="0.3">
      <c r="A228" t="s">
        <v>245</v>
      </c>
      <c r="B228" s="1" t="s">
        <v>229</v>
      </c>
      <c r="S228" s="1" t="str">
        <f t="shared" si="6"/>
        <v>12 a 15 dias</v>
      </c>
      <c r="T228" s="8" t="s">
        <v>27</v>
      </c>
      <c r="V228" t="s">
        <v>202</v>
      </c>
      <c r="W228" s="31" t="s">
        <v>203</v>
      </c>
    </row>
    <row r="229" spans="1:23" x14ac:dyDescent="0.3">
      <c r="A229" t="s">
        <v>245</v>
      </c>
      <c r="B229" s="1" t="s">
        <v>230</v>
      </c>
      <c r="S229" s="1" t="str">
        <f t="shared" si="6"/>
        <v>12 a 15 dias</v>
      </c>
      <c r="T229" s="8" t="s">
        <v>27</v>
      </c>
      <c r="V229" t="s">
        <v>202</v>
      </c>
      <c r="W229" s="31" t="s">
        <v>203</v>
      </c>
    </row>
    <row r="230" spans="1:23" x14ac:dyDescent="0.3">
      <c r="A230" t="s">
        <v>245</v>
      </c>
      <c r="B230" s="1" t="s">
        <v>231</v>
      </c>
      <c r="C230" s="6">
        <v>487.82</v>
      </c>
      <c r="S230" s="1" t="str">
        <f t="shared" si="6"/>
        <v>12 a 15 dias</v>
      </c>
      <c r="T230" s="8" t="s">
        <v>27</v>
      </c>
      <c r="U230" s="17">
        <v>45231</v>
      </c>
      <c r="V230" t="s">
        <v>202</v>
      </c>
      <c r="W230" s="31" t="s">
        <v>203</v>
      </c>
    </row>
    <row r="231" spans="1:23" x14ac:dyDescent="0.3">
      <c r="A231" t="s">
        <v>245</v>
      </c>
      <c r="B231" s="1" t="s">
        <v>232</v>
      </c>
      <c r="S231" s="1" t="str">
        <f t="shared" ref="S231:S300" si="7">"12 a 15 dias"</f>
        <v>12 a 15 dias</v>
      </c>
      <c r="T231" s="8" t="s">
        <v>27</v>
      </c>
      <c r="V231" t="s">
        <v>202</v>
      </c>
      <c r="W231" s="31" t="s">
        <v>203</v>
      </c>
    </row>
    <row r="232" spans="1:23" x14ac:dyDescent="0.3">
      <c r="A232" t="s">
        <v>245</v>
      </c>
      <c r="B232" s="1" t="s">
        <v>233</v>
      </c>
      <c r="S232" s="1" t="str">
        <f t="shared" si="7"/>
        <v>12 a 15 dias</v>
      </c>
      <c r="T232" s="8" t="s">
        <v>27</v>
      </c>
      <c r="V232" t="s">
        <v>202</v>
      </c>
      <c r="W232" s="31" t="s">
        <v>203</v>
      </c>
    </row>
    <row r="233" spans="1:23" x14ac:dyDescent="0.3">
      <c r="A233" t="s">
        <v>245</v>
      </c>
      <c r="B233" s="1" t="s">
        <v>234</v>
      </c>
      <c r="S233" s="1" t="str">
        <f t="shared" si="7"/>
        <v>12 a 15 dias</v>
      </c>
      <c r="T233" s="8" t="s">
        <v>27</v>
      </c>
      <c r="V233" t="s">
        <v>202</v>
      </c>
      <c r="W233" s="31" t="s">
        <v>203</v>
      </c>
    </row>
    <row r="234" spans="1:23" x14ac:dyDescent="0.3">
      <c r="A234" t="s">
        <v>245</v>
      </c>
      <c r="B234" s="1" t="s">
        <v>235</v>
      </c>
      <c r="C234" s="6">
        <v>380</v>
      </c>
      <c r="S234" s="1" t="str">
        <f t="shared" si="7"/>
        <v>12 a 15 dias</v>
      </c>
      <c r="T234" s="8" t="s">
        <v>27</v>
      </c>
      <c r="U234" s="18" t="str">
        <f>"11/05/2023"</f>
        <v>11/05/2023</v>
      </c>
      <c r="V234" t="s">
        <v>202</v>
      </c>
      <c r="W234" s="31" t="s">
        <v>203</v>
      </c>
    </row>
    <row r="235" spans="1:23" x14ac:dyDescent="0.3">
      <c r="A235" t="s">
        <v>245</v>
      </c>
      <c r="B235" s="1" t="s">
        <v>236</v>
      </c>
      <c r="S235" s="1" t="str">
        <f t="shared" si="7"/>
        <v>12 a 15 dias</v>
      </c>
      <c r="T235" s="8" t="s">
        <v>27</v>
      </c>
      <c r="V235" t="s">
        <v>202</v>
      </c>
      <c r="W235" s="31" t="s">
        <v>203</v>
      </c>
    </row>
    <row r="236" spans="1:23" x14ac:dyDescent="0.3">
      <c r="A236" t="s">
        <v>245</v>
      </c>
      <c r="B236" s="1" t="s">
        <v>237</v>
      </c>
      <c r="S236" s="1" t="str">
        <f t="shared" si="7"/>
        <v>12 a 15 dias</v>
      </c>
      <c r="T236" s="8" t="s">
        <v>27</v>
      </c>
      <c r="V236" t="s">
        <v>202</v>
      </c>
      <c r="W236" s="31" t="s">
        <v>203</v>
      </c>
    </row>
    <row r="237" spans="1:23" x14ac:dyDescent="0.3">
      <c r="A237" t="s">
        <v>245</v>
      </c>
      <c r="B237" s="1" t="s">
        <v>238</v>
      </c>
      <c r="S237" s="1" t="str">
        <f t="shared" si="7"/>
        <v>12 a 15 dias</v>
      </c>
      <c r="T237" s="8" t="s">
        <v>27</v>
      </c>
      <c r="V237" t="s">
        <v>202</v>
      </c>
      <c r="W237" s="31" t="s">
        <v>203</v>
      </c>
    </row>
    <row r="238" spans="1:23" x14ac:dyDescent="0.3">
      <c r="A238" t="s">
        <v>245</v>
      </c>
      <c r="B238" s="1" t="s">
        <v>239</v>
      </c>
      <c r="S238" s="1" t="str">
        <f t="shared" si="7"/>
        <v>12 a 15 dias</v>
      </c>
      <c r="T238" s="8" t="s">
        <v>27</v>
      </c>
      <c r="V238" t="s">
        <v>202</v>
      </c>
      <c r="W238" s="31" t="s">
        <v>203</v>
      </c>
    </row>
    <row r="239" spans="1:23" x14ac:dyDescent="0.3">
      <c r="A239" t="s">
        <v>245</v>
      </c>
      <c r="B239" s="1" t="s">
        <v>240</v>
      </c>
      <c r="S239" s="1" t="str">
        <f t="shared" si="7"/>
        <v>12 a 15 dias</v>
      </c>
      <c r="T239" s="8" t="s">
        <v>27</v>
      </c>
      <c r="V239" t="s">
        <v>202</v>
      </c>
      <c r="W239" s="31" t="s">
        <v>203</v>
      </c>
    </row>
    <row r="240" spans="1:23" x14ac:dyDescent="0.3">
      <c r="A240" t="s">
        <v>245</v>
      </c>
      <c r="B240" s="1" t="s">
        <v>241</v>
      </c>
      <c r="C240" s="6">
        <v>450</v>
      </c>
      <c r="S240" s="1" t="str">
        <f t="shared" si="7"/>
        <v>12 a 15 dias</v>
      </c>
      <c r="T240" s="8" t="s">
        <v>27</v>
      </c>
      <c r="U240" s="17">
        <v>45057</v>
      </c>
      <c r="V240" t="s">
        <v>202</v>
      </c>
      <c r="W240" s="31" t="s">
        <v>203</v>
      </c>
    </row>
    <row r="241" spans="1:23" ht="13.5" customHeight="1" x14ac:dyDescent="0.3">
      <c r="A241" t="s">
        <v>245</v>
      </c>
      <c r="B241" s="1" t="s">
        <v>242</v>
      </c>
      <c r="S241" s="1" t="str">
        <f t="shared" si="7"/>
        <v>12 a 15 dias</v>
      </c>
      <c r="T241" s="8" t="s">
        <v>27</v>
      </c>
      <c r="V241" t="s">
        <v>202</v>
      </c>
      <c r="W241" s="31" t="s">
        <v>203</v>
      </c>
    </row>
    <row r="242" spans="1:23" x14ac:dyDescent="0.3">
      <c r="A242" t="s">
        <v>245</v>
      </c>
      <c r="B242" s="1" t="s">
        <v>243</v>
      </c>
      <c r="S242" s="1" t="str">
        <f t="shared" si="7"/>
        <v>12 a 15 dias</v>
      </c>
      <c r="T242" s="8" t="s">
        <v>27</v>
      </c>
      <c r="V242" t="s">
        <v>202</v>
      </c>
      <c r="W242" s="31" t="s">
        <v>203</v>
      </c>
    </row>
    <row r="243" spans="1:23" x14ac:dyDescent="0.3">
      <c r="A243" t="s">
        <v>245</v>
      </c>
      <c r="B243" s="1" t="s">
        <v>244</v>
      </c>
      <c r="S243" s="1" t="str">
        <f t="shared" si="7"/>
        <v>12 a 15 dias</v>
      </c>
      <c r="T243" s="8" t="s">
        <v>27</v>
      </c>
      <c r="V243" t="s">
        <v>202</v>
      </c>
      <c r="W243" s="31" t="s">
        <v>203</v>
      </c>
    </row>
    <row r="244" spans="1:23" x14ac:dyDescent="0.3">
      <c r="T244" s="8"/>
    </row>
    <row r="245" spans="1:23" x14ac:dyDescent="0.3">
      <c r="A245" t="s">
        <v>246</v>
      </c>
      <c r="B245" s="1" t="s">
        <v>247</v>
      </c>
      <c r="C245" s="6">
        <v>158.37</v>
      </c>
      <c r="S245" s="1" t="str">
        <f t="shared" si="7"/>
        <v>12 a 15 dias</v>
      </c>
      <c r="T245" s="8" t="s">
        <v>27</v>
      </c>
      <c r="U245" s="17">
        <v>45231</v>
      </c>
      <c r="V245" t="s">
        <v>202</v>
      </c>
      <c r="W245" s="31" t="s">
        <v>203</v>
      </c>
    </row>
    <row r="246" spans="1:23" x14ac:dyDescent="0.3">
      <c r="A246" t="s">
        <v>246</v>
      </c>
      <c r="B246" s="1" t="s">
        <v>248</v>
      </c>
      <c r="C246" s="6">
        <v>205</v>
      </c>
      <c r="S246" s="1" t="str">
        <f t="shared" si="7"/>
        <v>12 a 15 dias</v>
      </c>
      <c r="T246" s="8" t="s">
        <v>27</v>
      </c>
      <c r="U246" s="17">
        <v>45313</v>
      </c>
      <c r="V246" t="s">
        <v>202</v>
      </c>
      <c r="W246" s="31" t="s">
        <v>203</v>
      </c>
    </row>
    <row r="247" spans="1:23" x14ac:dyDescent="0.3">
      <c r="A247" t="s">
        <v>246</v>
      </c>
      <c r="B247" s="1" t="s">
        <v>249</v>
      </c>
      <c r="C247" s="6">
        <v>261.38</v>
      </c>
      <c r="S247" s="1" t="str">
        <f t="shared" si="7"/>
        <v>12 a 15 dias</v>
      </c>
      <c r="T247" s="8" t="s">
        <v>27</v>
      </c>
      <c r="U247" s="17">
        <v>45313</v>
      </c>
      <c r="V247" t="s">
        <v>202</v>
      </c>
      <c r="W247" s="31" t="s">
        <v>203</v>
      </c>
    </row>
    <row r="248" spans="1:23" x14ac:dyDescent="0.3">
      <c r="A248" t="s">
        <v>246</v>
      </c>
      <c r="B248" s="1" t="s">
        <v>250</v>
      </c>
      <c r="C248" s="6">
        <v>236.79</v>
      </c>
      <c r="S248" s="1" t="str">
        <f t="shared" si="7"/>
        <v>12 a 15 dias</v>
      </c>
      <c r="T248" s="8" t="s">
        <v>27</v>
      </c>
      <c r="U248" s="17">
        <v>45231</v>
      </c>
      <c r="V248" t="s">
        <v>202</v>
      </c>
      <c r="W248" s="31" t="s">
        <v>203</v>
      </c>
    </row>
    <row r="249" spans="1:23" x14ac:dyDescent="0.3">
      <c r="A249" t="s">
        <v>246</v>
      </c>
      <c r="B249" s="1" t="s">
        <v>251</v>
      </c>
      <c r="S249" s="1" t="str">
        <f t="shared" si="7"/>
        <v>12 a 15 dias</v>
      </c>
      <c r="T249" s="8" t="s">
        <v>27</v>
      </c>
      <c r="V249" t="s">
        <v>202</v>
      </c>
      <c r="W249" s="31" t="s">
        <v>203</v>
      </c>
    </row>
    <row r="250" spans="1:23" x14ac:dyDescent="0.3">
      <c r="A250" t="s">
        <v>246</v>
      </c>
      <c r="B250" s="1" t="s">
        <v>252</v>
      </c>
      <c r="C250" s="6">
        <v>376.08</v>
      </c>
      <c r="S250" s="1" t="str">
        <f t="shared" si="7"/>
        <v>12 a 15 dias</v>
      </c>
      <c r="T250" s="8" t="s">
        <v>27</v>
      </c>
      <c r="U250" s="17">
        <v>45313</v>
      </c>
      <c r="V250" t="s">
        <v>202</v>
      </c>
      <c r="W250" s="31" t="s">
        <v>203</v>
      </c>
    </row>
    <row r="251" spans="1:23" x14ac:dyDescent="0.3">
      <c r="A251" t="s">
        <v>246</v>
      </c>
      <c r="B251" s="1" t="s">
        <v>253</v>
      </c>
      <c r="C251" s="6">
        <v>594.36</v>
      </c>
      <c r="S251" s="1" t="str">
        <f t="shared" si="7"/>
        <v>12 a 15 dias</v>
      </c>
      <c r="T251" s="8" t="s">
        <v>27</v>
      </c>
      <c r="U251" s="17">
        <v>45231</v>
      </c>
      <c r="V251" t="s">
        <v>202</v>
      </c>
      <c r="W251" s="31" t="s">
        <v>203</v>
      </c>
    </row>
    <row r="252" spans="1:23" x14ac:dyDescent="0.3">
      <c r="A252" t="s">
        <v>246</v>
      </c>
      <c r="B252" s="1" t="s">
        <v>254</v>
      </c>
      <c r="S252" s="1" t="str">
        <f t="shared" si="7"/>
        <v>12 a 15 dias</v>
      </c>
      <c r="T252" s="8" t="s">
        <v>27</v>
      </c>
      <c r="V252" t="s">
        <v>202</v>
      </c>
      <c r="W252" s="31" t="s">
        <v>203</v>
      </c>
    </row>
    <row r="253" spans="1:23" x14ac:dyDescent="0.3">
      <c r="A253" t="s">
        <v>246</v>
      </c>
      <c r="B253" s="1" t="s">
        <v>255</v>
      </c>
      <c r="S253" s="1" t="str">
        <f t="shared" si="7"/>
        <v>12 a 15 dias</v>
      </c>
      <c r="T253" s="8" t="s">
        <v>27</v>
      </c>
      <c r="V253" t="s">
        <v>202</v>
      </c>
      <c r="W253" s="31" t="s">
        <v>203</v>
      </c>
    </row>
    <row r="254" spans="1:23" x14ac:dyDescent="0.3">
      <c r="A254" t="s">
        <v>246</v>
      </c>
      <c r="B254" s="1" t="s">
        <v>256</v>
      </c>
      <c r="C254" s="6">
        <v>524.85</v>
      </c>
      <c r="S254" s="1" t="str">
        <f t="shared" si="7"/>
        <v>12 a 15 dias</v>
      </c>
      <c r="T254" s="8" t="s">
        <v>27</v>
      </c>
      <c r="U254" s="17">
        <v>45313</v>
      </c>
      <c r="V254" t="s">
        <v>202</v>
      </c>
      <c r="W254" s="31" t="s">
        <v>203</v>
      </c>
    </row>
    <row r="255" spans="1:23" x14ac:dyDescent="0.3">
      <c r="A255" t="s">
        <v>246</v>
      </c>
      <c r="B255" s="1" t="s">
        <v>257</v>
      </c>
      <c r="C255" s="6">
        <v>336.6</v>
      </c>
      <c r="S255" s="1" t="str">
        <f t="shared" si="7"/>
        <v>12 a 15 dias</v>
      </c>
      <c r="T255" s="8" t="s">
        <v>27</v>
      </c>
      <c r="U255" s="17">
        <v>45350</v>
      </c>
      <c r="V255" t="s">
        <v>202</v>
      </c>
      <c r="W255" s="31" t="s">
        <v>203</v>
      </c>
    </row>
    <row r="256" spans="1:23" x14ac:dyDescent="0.3">
      <c r="A256" t="s">
        <v>246</v>
      </c>
      <c r="B256" s="1" t="s">
        <v>258</v>
      </c>
      <c r="S256" s="1" t="str">
        <f t="shared" si="7"/>
        <v>12 a 15 dias</v>
      </c>
      <c r="T256" s="8" t="s">
        <v>27</v>
      </c>
      <c r="V256" t="s">
        <v>202</v>
      </c>
      <c r="W256" s="31" t="s">
        <v>203</v>
      </c>
    </row>
    <row r="257" spans="1:23" x14ac:dyDescent="0.3">
      <c r="A257" t="s">
        <v>246</v>
      </c>
      <c r="B257" s="1" t="s">
        <v>259</v>
      </c>
      <c r="S257" s="1" t="str">
        <f t="shared" si="7"/>
        <v>12 a 15 dias</v>
      </c>
      <c r="T257" s="8" t="s">
        <v>27</v>
      </c>
      <c r="V257" t="s">
        <v>202</v>
      </c>
      <c r="W257" s="31" t="s">
        <v>203</v>
      </c>
    </row>
    <row r="258" spans="1:23" x14ac:dyDescent="0.3">
      <c r="A258" t="s">
        <v>246</v>
      </c>
      <c r="B258" s="1" t="s">
        <v>260</v>
      </c>
      <c r="S258" s="1" t="str">
        <f t="shared" si="7"/>
        <v>12 a 15 dias</v>
      </c>
      <c r="T258" s="8" t="s">
        <v>27</v>
      </c>
      <c r="V258" t="s">
        <v>202</v>
      </c>
      <c r="W258" s="31" t="s">
        <v>203</v>
      </c>
    </row>
    <row r="259" spans="1:23" x14ac:dyDescent="0.3">
      <c r="A259" t="s">
        <v>246</v>
      </c>
      <c r="B259" s="1" t="s">
        <v>261</v>
      </c>
      <c r="C259" s="6">
        <v>719.67</v>
      </c>
      <c r="S259" s="1" t="str">
        <f t="shared" si="7"/>
        <v>12 a 15 dias</v>
      </c>
      <c r="T259" s="8" t="s">
        <v>27</v>
      </c>
      <c r="U259" s="17">
        <v>45350</v>
      </c>
      <c r="V259" t="s">
        <v>202</v>
      </c>
      <c r="W259" s="31" t="s">
        <v>203</v>
      </c>
    </row>
    <row r="260" spans="1:23" x14ac:dyDescent="0.3">
      <c r="A260" t="s">
        <v>246</v>
      </c>
      <c r="B260" s="1" t="s">
        <v>262</v>
      </c>
      <c r="S260" s="1" t="str">
        <f t="shared" si="7"/>
        <v>12 a 15 dias</v>
      </c>
      <c r="T260" s="8" t="s">
        <v>27</v>
      </c>
      <c r="V260" t="s">
        <v>202</v>
      </c>
      <c r="W260" s="31" t="s">
        <v>203</v>
      </c>
    </row>
    <row r="261" spans="1:23" ht="15" customHeight="1" x14ac:dyDescent="0.3">
      <c r="A261" t="s">
        <v>246</v>
      </c>
      <c r="B261" s="1" t="s">
        <v>263</v>
      </c>
      <c r="S261" s="1" t="str">
        <f t="shared" si="7"/>
        <v>12 a 15 dias</v>
      </c>
      <c r="T261" s="8" t="s">
        <v>27</v>
      </c>
      <c r="V261" t="s">
        <v>202</v>
      </c>
      <c r="W261" s="31" t="s">
        <v>203</v>
      </c>
    </row>
    <row r="262" spans="1:23" x14ac:dyDescent="0.3">
      <c r="A262" t="s">
        <v>246</v>
      </c>
      <c r="B262" s="1" t="s">
        <v>264</v>
      </c>
      <c r="S262" s="1" t="str">
        <f t="shared" si="7"/>
        <v>12 a 15 dias</v>
      </c>
      <c r="T262" s="8" t="s">
        <v>27</v>
      </c>
      <c r="V262" t="s">
        <v>202</v>
      </c>
      <c r="W262" s="31" t="s">
        <v>203</v>
      </c>
    </row>
    <row r="263" spans="1:23" x14ac:dyDescent="0.3">
      <c r="A263" t="s">
        <v>246</v>
      </c>
      <c r="B263" s="1" t="s">
        <v>265</v>
      </c>
      <c r="S263" s="1" t="str">
        <f t="shared" si="7"/>
        <v>12 a 15 dias</v>
      </c>
      <c r="T263" s="8" t="s">
        <v>27</v>
      </c>
      <c r="V263" t="s">
        <v>202</v>
      </c>
      <c r="W263" s="31" t="s">
        <v>203</v>
      </c>
    </row>
    <row r="264" spans="1:23" x14ac:dyDescent="0.3">
      <c r="A264" t="s">
        <v>246</v>
      </c>
      <c r="B264" s="1" t="s">
        <v>266</v>
      </c>
      <c r="S264" s="1" t="str">
        <f t="shared" si="7"/>
        <v>12 a 15 dias</v>
      </c>
      <c r="T264" s="8" t="s">
        <v>27</v>
      </c>
      <c r="V264" t="s">
        <v>202</v>
      </c>
      <c r="W264" s="31" t="s">
        <v>203</v>
      </c>
    </row>
    <row r="265" spans="1:23" x14ac:dyDescent="0.3">
      <c r="A265" t="s">
        <v>246</v>
      </c>
      <c r="B265" s="1" t="s">
        <v>267</v>
      </c>
      <c r="C265" s="6">
        <v>497.29</v>
      </c>
      <c r="S265" s="1" t="str">
        <f t="shared" si="7"/>
        <v>12 a 15 dias</v>
      </c>
      <c r="T265" s="8" t="s">
        <v>27</v>
      </c>
      <c r="U265" s="17">
        <v>45350</v>
      </c>
      <c r="V265" t="s">
        <v>202</v>
      </c>
      <c r="W265" s="31" t="s">
        <v>203</v>
      </c>
    </row>
    <row r="266" spans="1:23" x14ac:dyDescent="0.3">
      <c r="A266" t="s">
        <v>246</v>
      </c>
      <c r="B266" s="1" t="s">
        <v>268</v>
      </c>
      <c r="S266" s="1" t="str">
        <f t="shared" si="7"/>
        <v>12 a 15 dias</v>
      </c>
      <c r="T266" s="8" t="s">
        <v>27</v>
      </c>
      <c r="V266" t="s">
        <v>202</v>
      </c>
      <c r="W266" s="31" t="s">
        <v>203</v>
      </c>
    </row>
    <row r="267" spans="1:23" x14ac:dyDescent="0.3">
      <c r="A267" t="s">
        <v>246</v>
      </c>
      <c r="B267" s="1" t="s">
        <v>269</v>
      </c>
      <c r="S267" s="1" t="str">
        <f t="shared" si="7"/>
        <v>12 a 15 dias</v>
      </c>
      <c r="T267" s="8" t="s">
        <v>27</v>
      </c>
      <c r="V267" t="s">
        <v>202</v>
      </c>
      <c r="W267" s="31" t="s">
        <v>203</v>
      </c>
    </row>
    <row r="268" spans="1:23" x14ac:dyDescent="0.3">
      <c r="A268" t="s">
        <v>246</v>
      </c>
      <c r="B268" s="1" t="s">
        <v>270</v>
      </c>
      <c r="C268" s="6">
        <v>776.02</v>
      </c>
      <c r="S268" s="1" t="str">
        <f t="shared" si="7"/>
        <v>12 a 15 dias</v>
      </c>
      <c r="T268" s="8" t="s">
        <v>27</v>
      </c>
      <c r="U268" s="17">
        <v>45231</v>
      </c>
      <c r="V268" t="s">
        <v>202</v>
      </c>
      <c r="W268" s="31" t="s">
        <v>203</v>
      </c>
    </row>
    <row r="269" spans="1:23" x14ac:dyDescent="0.3">
      <c r="A269" t="s">
        <v>246</v>
      </c>
      <c r="B269" s="1" t="s">
        <v>271</v>
      </c>
      <c r="S269" s="1" t="str">
        <f t="shared" si="7"/>
        <v>12 a 15 dias</v>
      </c>
      <c r="T269" s="8" t="s">
        <v>27</v>
      </c>
      <c r="V269" t="s">
        <v>202</v>
      </c>
      <c r="W269" s="31" t="s">
        <v>203</v>
      </c>
    </row>
    <row r="270" spans="1:23" x14ac:dyDescent="0.3">
      <c r="A270" t="s">
        <v>246</v>
      </c>
      <c r="B270" s="1" t="s">
        <v>272</v>
      </c>
      <c r="S270" s="1" t="str">
        <f t="shared" si="7"/>
        <v>12 a 15 dias</v>
      </c>
      <c r="T270" s="8" t="s">
        <v>27</v>
      </c>
      <c r="V270" t="s">
        <v>202</v>
      </c>
      <c r="W270" s="31" t="s">
        <v>203</v>
      </c>
    </row>
    <row r="271" spans="1:23" x14ac:dyDescent="0.3">
      <c r="A271" t="s">
        <v>246</v>
      </c>
      <c r="B271" s="1" t="s">
        <v>273</v>
      </c>
      <c r="S271" s="1" t="str">
        <f t="shared" si="7"/>
        <v>12 a 15 dias</v>
      </c>
      <c r="T271" s="8" t="s">
        <v>27</v>
      </c>
      <c r="V271" t="s">
        <v>202</v>
      </c>
      <c r="W271" s="31" t="s">
        <v>203</v>
      </c>
    </row>
    <row r="272" spans="1:23" x14ac:dyDescent="0.3">
      <c r="A272" t="s">
        <v>246</v>
      </c>
      <c r="B272" s="1" t="s">
        <v>274</v>
      </c>
      <c r="S272" s="1" t="str">
        <f t="shared" si="7"/>
        <v>12 a 15 dias</v>
      </c>
      <c r="T272" s="8" t="s">
        <v>27</v>
      </c>
      <c r="V272" t="s">
        <v>202</v>
      </c>
      <c r="W272" s="31" t="s">
        <v>203</v>
      </c>
    </row>
    <row r="273" spans="1:23" x14ac:dyDescent="0.3">
      <c r="A273" t="s">
        <v>246</v>
      </c>
      <c r="B273" s="1" t="s">
        <v>275</v>
      </c>
      <c r="S273" s="1" t="str">
        <f t="shared" si="7"/>
        <v>12 a 15 dias</v>
      </c>
      <c r="T273" s="8" t="s">
        <v>27</v>
      </c>
      <c r="V273" t="s">
        <v>202</v>
      </c>
      <c r="W273" s="31" t="s">
        <v>203</v>
      </c>
    </row>
    <row r="274" spans="1:23" x14ac:dyDescent="0.3">
      <c r="A274" t="s">
        <v>246</v>
      </c>
      <c r="B274" s="1" t="s">
        <v>276</v>
      </c>
      <c r="S274" s="1" t="str">
        <f t="shared" si="7"/>
        <v>12 a 15 dias</v>
      </c>
      <c r="T274" s="8" t="s">
        <v>27</v>
      </c>
      <c r="V274" t="s">
        <v>202</v>
      </c>
      <c r="W274" s="31" t="s">
        <v>203</v>
      </c>
    </row>
    <row r="275" spans="1:23" x14ac:dyDescent="0.3">
      <c r="A275" t="s">
        <v>246</v>
      </c>
      <c r="B275" s="1" t="s">
        <v>277</v>
      </c>
      <c r="S275" s="1" t="str">
        <f t="shared" si="7"/>
        <v>12 a 15 dias</v>
      </c>
      <c r="T275" s="8" t="s">
        <v>27</v>
      </c>
      <c r="V275" t="s">
        <v>202</v>
      </c>
      <c r="W275" s="31" t="s">
        <v>203</v>
      </c>
    </row>
    <row r="276" spans="1:23" x14ac:dyDescent="0.3">
      <c r="A276" t="s">
        <v>246</v>
      </c>
      <c r="B276" s="1" t="s">
        <v>278</v>
      </c>
      <c r="S276" s="1" t="str">
        <f t="shared" si="7"/>
        <v>12 a 15 dias</v>
      </c>
      <c r="T276" s="8" t="s">
        <v>27</v>
      </c>
      <c r="V276" t="s">
        <v>202</v>
      </c>
      <c r="W276" s="31" t="s">
        <v>203</v>
      </c>
    </row>
    <row r="277" spans="1:23" x14ac:dyDescent="0.3">
      <c r="A277" t="s">
        <v>246</v>
      </c>
      <c r="B277" s="1" t="s">
        <v>279</v>
      </c>
      <c r="S277" s="1" t="str">
        <f t="shared" si="7"/>
        <v>12 a 15 dias</v>
      </c>
      <c r="T277" s="8" t="s">
        <v>27</v>
      </c>
      <c r="V277" t="s">
        <v>202</v>
      </c>
      <c r="W277" s="31" t="s">
        <v>203</v>
      </c>
    </row>
    <row r="278" spans="1:23" x14ac:dyDescent="0.3">
      <c r="A278" t="s">
        <v>246</v>
      </c>
      <c r="B278" s="1" t="s">
        <v>280</v>
      </c>
      <c r="S278" s="1" t="str">
        <f t="shared" si="7"/>
        <v>12 a 15 dias</v>
      </c>
      <c r="T278" s="8" t="s">
        <v>27</v>
      </c>
      <c r="V278" t="s">
        <v>202</v>
      </c>
      <c r="W278" s="31" t="s">
        <v>203</v>
      </c>
    </row>
    <row r="279" spans="1:23" x14ac:dyDescent="0.3">
      <c r="A279" t="s">
        <v>246</v>
      </c>
      <c r="B279" s="1" t="s">
        <v>281</v>
      </c>
      <c r="S279" s="1" t="str">
        <f t="shared" si="7"/>
        <v>12 a 15 dias</v>
      </c>
      <c r="T279" s="8" t="s">
        <v>27</v>
      </c>
      <c r="V279" t="s">
        <v>202</v>
      </c>
      <c r="W279" s="31" t="s">
        <v>203</v>
      </c>
    </row>
    <row r="280" spans="1:23" x14ac:dyDescent="0.3">
      <c r="A280" t="s">
        <v>246</v>
      </c>
      <c r="B280" s="1" t="s">
        <v>282</v>
      </c>
      <c r="S280" s="1" t="str">
        <f t="shared" si="7"/>
        <v>12 a 15 dias</v>
      </c>
      <c r="T280" s="8" t="s">
        <v>27</v>
      </c>
      <c r="V280" t="s">
        <v>202</v>
      </c>
      <c r="W280" s="31" t="s">
        <v>203</v>
      </c>
    </row>
    <row r="281" spans="1:23" x14ac:dyDescent="0.3">
      <c r="A281" t="s">
        <v>246</v>
      </c>
      <c r="B281" s="1" t="s">
        <v>283</v>
      </c>
      <c r="S281" s="1" t="str">
        <f t="shared" si="7"/>
        <v>12 a 15 dias</v>
      </c>
      <c r="T281" s="8" t="s">
        <v>27</v>
      </c>
      <c r="V281" t="s">
        <v>202</v>
      </c>
      <c r="W281" s="31" t="s">
        <v>203</v>
      </c>
    </row>
    <row r="282" spans="1:23" x14ac:dyDescent="0.3">
      <c r="A282" t="s">
        <v>246</v>
      </c>
      <c r="B282" s="1" t="s">
        <v>284</v>
      </c>
      <c r="S282" s="1" t="str">
        <f t="shared" si="7"/>
        <v>12 a 15 dias</v>
      </c>
      <c r="T282" s="8" t="s">
        <v>27</v>
      </c>
      <c r="V282" t="s">
        <v>202</v>
      </c>
      <c r="W282" s="31" t="s">
        <v>203</v>
      </c>
    </row>
    <row r="283" spans="1:23" x14ac:dyDescent="0.3">
      <c r="A283" t="s">
        <v>246</v>
      </c>
      <c r="B283" s="1" t="s">
        <v>285</v>
      </c>
      <c r="S283" s="1" t="str">
        <f t="shared" si="7"/>
        <v>12 a 15 dias</v>
      </c>
      <c r="T283" s="8" t="s">
        <v>27</v>
      </c>
      <c r="V283" t="s">
        <v>202</v>
      </c>
      <c r="W283" s="31" t="s">
        <v>203</v>
      </c>
    </row>
    <row r="284" spans="1:23" x14ac:dyDescent="0.3">
      <c r="A284" t="s">
        <v>246</v>
      </c>
      <c r="B284" s="1" t="s">
        <v>286</v>
      </c>
      <c r="S284" s="1" t="str">
        <f t="shared" si="7"/>
        <v>12 a 15 dias</v>
      </c>
      <c r="T284" s="8" t="s">
        <v>27</v>
      </c>
      <c r="V284" t="s">
        <v>202</v>
      </c>
      <c r="W284" s="31" t="s">
        <v>203</v>
      </c>
    </row>
    <row r="285" spans="1:23" x14ac:dyDescent="0.3">
      <c r="A285" t="s">
        <v>246</v>
      </c>
      <c r="B285" s="1" t="s">
        <v>287</v>
      </c>
      <c r="S285" s="1" t="str">
        <f t="shared" si="7"/>
        <v>12 a 15 dias</v>
      </c>
      <c r="T285" s="8" t="s">
        <v>27</v>
      </c>
      <c r="V285" t="s">
        <v>202</v>
      </c>
      <c r="W285" s="31" t="s">
        <v>203</v>
      </c>
    </row>
    <row r="286" spans="1:23" x14ac:dyDescent="0.3">
      <c r="A286" t="s">
        <v>246</v>
      </c>
      <c r="B286" s="1" t="s">
        <v>288</v>
      </c>
      <c r="S286" s="1" t="str">
        <f t="shared" si="7"/>
        <v>12 a 15 dias</v>
      </c>
      <c r="T286" s="8" t="s">
        <v>27</v>
      </c>
      <c r="V286" t="s">
        <v>202</v>
      </c>
      <c r="W286" s="31" t="s">
        <v>203</v>
      </c>
    </row>
    <row r="287" spans="1:23" x14ac:dyDescent="0.3">
      <c r="A287" t="s">
        <v>246</v>
      </c>
      <c r="B287" s="1" t="s">
        <v>289</v>
      </c>
      <c r="S287" s="1" t="str">
        <f t="shared" si="7"/>
        <v>12 a 15 dias</v>
      </c>
      <c r="T287" s="8" t="s">
        <v>27</v>
      </c>
      <c r="V287" t="s">
        <v>202</v>
      </c>
      <c r="W287" s="31" t="s">
        <v>203</v>
      </c>
    </row>
    <row r="288" spans="1:23" x14ac:dyDescent="0.3">
      <c r="A288" t="s">
        <v>246</v>
      </c>
      <c r="B288" s="1" t="s">
        <v>290</v>
      </c>
      <c r="S288" s="1" t="str">
        <f t="shared" si="7"/>
        <v>12 a 15 dias</v>
      </c>
      <c r="T288" s="8" t="s">
        <v>27</v>
      </c>
      <c r="V288" t="s">
        <v>202</v>
      </c>
      <c r="W288" s="31" t="s">
        <v>203</v>
      </c>
    </row>
    <row r="289" spans="1:23" x14ac:dyDescent="0.3">
      <c r="A289" t="s">
        <v>246</v>
      </c>
      <c r="B289" s="1" t="s">
        <v>291</v>
      </c>
      <c r="S289" s="1" t="str">
        <f t="shared" si="7"/>
        <v>12 a 15 dias</v>
      </c>
      <c r="T289" s="8" t="s">
        <v>27</v>
      </c>
      <c r="V289" t="s">
        <v>202</v>
      </c>
      <c r="W289" s="31" t="s">
        <v>203</v>
      </c>
    </row>
    <row r="290" spans="1:23" x14ac:dyDescent="0.3">
      <c r="A290" t="s">
        <v>246</v>
      </c>
      <c r="B290" s="1" t="s">
        <v>292</v>
      </c>
      <c r="S290" s="1" t="str">
        <f t="shared" si="7"/>
        <v>12 a 15 dias</v>
      </c>
      <c r="T290" s="8" t="s">
        <v>27</v>
      </c>
      <c r="V290" t="s">
        <v>202</v>
      </c>
      <c r="W290" s="31" t="s">
        <v>203</v>
      </c>
    </row>
    <row r="291" spans="1:23" x14ac:dyDescent="0.3">
      <c r="A291" t="s">
        <v>246</v>
      </c>
      <c r="B291" s="1" t="s">
        <v>293</v>
      </c>
      <c r="S291" s="1" t="str">
        <f t="shared" si="7"/>
        <v>12 a 15 dias</v>
      </c>
      <c r="T291" s="8" t="s">
        <v>27</v>
      </c>
      <c r="V291" t="s">
        <v>202</v>
      </c>
      <c r="W291" s="31" t="s">
        <v>203</v>
      </c>
    </row>
    <row r="292" spans="1:23" x14ac:dyDescent="0.3">
      <c r="A292" t="s">
        <v>246</v>
      </c>
      <c r="B292" s="1" t="s">
        <v>294</v>
      </c>
      <c r="S292" s="1" t="str">
        <f t="shared" si="7"/>
        <v>12 a 15 dias</v>
      </c>
      <c r="T292" s="8" t="s">
        <v>27</v>
      </c>
      <c r="V292" t="s">
        <v>202</v>
      </c>
      <c r="W292" s="31" t="s">
        <v>203</v>
      </c>
    </row>
    <row r="293" spans="1:23" x14ac:dyDescent="0.3">
      <c r="A293" t="s">
        <v>246</v>
      </c>
      <c r="B293" s="1" t="s">
        <v>295</v>
      </c>
      <c r="S293" s="1" t="str">
        <f t="shared" si="7"/>
        <v>12 a 15 dias</v>
      </c>
      <c r="T293" s="8" t="s">
        <v>27</v>
      </c>
      <c r="V293" t="s">
        <v>202</v>
      </c>
      <c r="W293" s="31" t="s">
        <v>203</v>
      </c>
    </row>
    <row r="294" spans="1:23" x14ac:dyDescent="0.3">
      <c r="A294" t="s">
        <v>246</v>
      </c>
      <c r="B294" s="1" t="s">
        <v>296</v>
      </c>
      <c r="S294" s="1" t="str">
        <f t="shared" si="7"/>
        <v>12 a 15 dias</v>
      </c>
      <c r="T294" s="8" t="s">
        <v>27</v>
      </c>
      <c r="V294" t="s">
        <v>202</v>
      </c>
      <c r="W294" s="31" t="s">
        <v>203</v>
      </c>
    </row>
    <row r="295" spans="1:23" x14ac:dyDescent="0.3">
      <c r="A295" t="s">
        <v>246</v>
      </c>
      <c r="B295" s="1" t="s">
        <v>297</v>
      </c>
      <c r="S295" s="1" t="str">
        <f t="shared" si="7"/>
        <v>12 a 15 dias</v>
      </c>
      <c r="T295" s="8" t="s">
        <v>27</v>
      </c>
      <c r="V295" t="s">
        <v>202</v>
      </c>
      <c r="W295" s="31" t="s">
        <v>203</v>
      </c>
    </row>
    <row r="296" spans="1:23" x14ac:dyDescent="0.3">
      <c r="A296" t="s">
        <v>246</v>
      </c>
      <c r="B296" s="1" t="s">
        <v>298</v>
      </c>
      <c r="S296" s="1" t="str">
        <f t="shared" si="7"/>
        <v>12 a 15 dias</v>
      </c>
      <c r="T296" s="8" t="s">
        <v>27</v>
      </c>
      <c r="V296" t="s">
        <v>202</v>
      </c>
      <c r="W296" s="31" t="s">
        <v>203</v>
      </c>
    </row>
    <row r="297" spans="1:23" x14ac:dyDescent="0.3">
      <c r="A297" t="s">
        <v>246</v>
      </c>
      <c r="B297" s="1" t="s">
        <v>299</v>
      </c>
      <c r="S297" s="1" t="str">
        <f t="shared" si="7"/>
        <v>12 a 15 dias</v>
      </c>
      <c r="T297" s="8" t="s">
        <v>27</v>
      </c>
      <c r="V297" t="s">
        <v>202</v>
      </c>
      <c r="W297" s="31" t="s">
        <v>203</v>
      </c>
    </row>
    <row r="298" spans="1:23" x14ac:dyDescent="0.3">
      <c r="A298" t="s">
        <v>246</v>
      </c>
      <c r="B298" s="1" t="s">
        <v>300</v>
      </c>
      <c r="S298" s="1" t="str">
        <f t="shared" si="7"/>
        <v>12 a 15 dias</v>
      </c>
      <c r="T298" s="8" t="s">
        <v>27</v>
      </c>
      <c r="V298" t="s">
        <v>202</v>
      </c>
      <c r="W298" s="31" t="s">
        <v>203</v>
      </c>
    </row>
    <row r="299" spans="1:23" x14ac:dyDescent="0.3">
      <c r="A299" t="s">
        <v>246</v>
      </c>
      <c r="B299" s="1" t="s">
        <v>301</v>
      </c>
      <c r="S299" s="1" t="str">
        <f t="shared" si="7"/>
        <v>12 a 15 dias</v>
      </c>
      <c r="T299" s="8" t="s">
        <v>27</v>
      </c>
      <c r="V299" t="s">
        <v>202</v>
      </c>
      <c r="W299" s="31" t="s">
        <v>203</v>
      </c>
    </row>
    <row r="300" spans="1:23" x14ac:dyDescent="0.3">
      <c r="A300" t="s">
        <v>246</v>
      </c>
      <c r="B300" s="1" t="s">
        <v>302</v>
      </c>
      <c r="S300" s="1" t="str">
        <f t="shared" si="7"/>
        <v>12 a 15 dias</v>
      </c>
      <c r="T300" s="8" t="s">
        <v>27</v>
      </c>
      <c r="V300" t="s">
        <v>202</v>
      </c>
      <c r="W300" s="31" t="s">
        <v>203</v>
      </c>
    </row>
    <row r="301" spans="1:23" x14ac:dyDescent="0.3">
      <c r="A301" t="s">
        <v>246</v>
      </c>
      <c r="B301" s="1" t="s">
        <v>303</v>
      </c>
      <c r="S301" s="1" t="str">
        <f t="shared" ref="S301:S364" si="8">"12 a 15 dias"</f>
        <v>12 a 15 dias</v>
      </c>
      <c r="T301" s="8" t="s">
        <v>27</v>
      </c>
      <c r="V301" t="s">
        <v>202</v>
      </c>
      <c r="W301" s="31" t="s">
        <v>203</v>
      </c>
    </row>
    <row r="302" spans="1:23" x14ac:dyDescent="0.3">
      <c r="A302" t="s">
        <v>246</v>
      </c>
      <c r="B302" s="1" t="s">
        <v>304</v>
      </c>
      <c r="S302" s="1" t="str">
        <f t="shared" si="8"/>
        <v>12 a 15 dias</v>
      </c>
      <c r="T302" s="8" t="s">
        <v>27</v>
      </c>
      <c r="V302" t="s">
        <v>202</v>
      </c>
      <c r="W302" s="31" t="s">
        <v>203</v>
      </c>
    </row>
    <row r="303" spans="1:23" x14ac:dyDescent="0.3">
      <c r="A303" t="s">
        <v>246</v>
      </c>
      <c r="B303" s="1" t="s">
        <v>305</v>
      </c>
      <c r="S303" s="1" t="str">
        <f t="shared" si="8"/>
        <v>12 a 15 dias</v>
      </c>
      <c r="T303" s="8" t="s">
        <v>27</v>
      </c>
      <c r="V303" t="s">
        <v>202</v>
      </c>
      <c r="W303" s="31" t="s">
        <v>203</v>
      </c>
    </row>
    <row r="304" spans="1:23" x14ac:dyDescent="0.3">
      <c r="A304" t="s">
        <v>246</v>
      </c>
      <c r="B304" s="1" t="s">
        <v>306</v>
      </c>
      <c r="S304" s="1" t="str">
        <f t="shared" si="8"/>
        <v>12 a 15 dias</v>
      </c>
      <c r="T304" s="8" t="s">
        <v>27</v>
      </c>
      <c r="V304" t="s">
        <v>202</v>
      </c>
      <c r="W304" s="31" t="s">
        <v>203</v>
      </c>
    </row>
    <row r="305" spans="1:22" x14ac:dyDescent="0.3">
      <c r="T305" s="8"/>
    </row>
    <row r="306" spans="1:22" x14ac:dyDescent="0.3">
      <c r="C306" s="6" t="s">
        <v>307</v>
      </c>
      <c r="D306" s="6" t="s">
        <v>308</v>
      </c>
      <c r="T306" s="8"/>
    </row>
    <row r="307" spans="1:22" x14ac:dyDescent="0.3">
      <c r="A307" t="s">
        <v>309</v>
      </c>
      <c r="B307" s="1" t="s">
        <v>310</v>
      </c>
      <c r="D307" s="6">
        <v>2811</v>
      </c>
      <c r="Q307" s="26">
        <v>0.05</v>
      </c>
      <c r="S307" s="1" t="str">
        <f t="shared" si="8"/>
        <v>12 a 15 dias</v>
      </c>
      <c r="T307" s="8" t="s">
        <v>27</v>
      </c>
      <c r="U307" s="17">
        <v>45017</v>
      </c>
      <c r="V307" t="s">
        <v>202</v>
      </c>
    </row>
    <row r="308" spans="1:22" x14ac:dyDescent="0.3">
      <c r="A308" t="str">
        <f>"DCF 90"</f>
        <v>DCF 90</v>
      </c>
      <c r="B308" s="1" t="s">
        <v>311</v>
      </c>
      <c r="Q308" s="26">
        <v>0.05</v>
      </c>
      <c r="S308" s="1" t="str">
        <f t="shared" si="8"/>
        <v>12 a 15 dias</v>
      </c>
      <c r="T308" s="8" t="s">
        <v>27</v>
      </c>
      <c r="V308" t="s">
        <v>202</v>
      </c>
    </row>
    <row r="309" spans="1:22" x14ac:dyDescent="0.3">
      <c r="A309" t="str">
        <f>"DCF 90"</f>
        <v>DCF 90</v>
      </c>
      <c r="B309" s="1" t="s">
        <v>312</v>
      </c>
      <c r="Q309" s="26">
        <v>0.05</v>
      </c>
      <c r="S309" s="1" t="str">
        <f t="shared" si="8"/>
        <v>12 a 15 dias</v>
      </c>
      <c r="T309" s="8" t="s">
        <v>27</v>
      </c>
      <c r="V309" t="s">
        <v>202</v>
      </c>
    </row>
    <row r="310" spans="1:22" x14ac:dyDescent="0.3">
      <c r="A310" t="str">
        <f t="shared" ref="A310:A365" si="9">"DCF 90"</f>
        <v>DCF 90</v>
      </c>
      <c r="B310" s="1" t="s">
        <v>313</v>
      </c>
      <c r="Q310" s="26">
        <v>0.05</v>
      </c>
      <c r="S310" s="1" t="str">
        <f t="shared" si="8"/>
        <v>12 a 15 dias</v>
      </c>
      <c r="T310" s="8" t="s">
        <v>27</v>
      </c>
      <c r="V310" t="s">
        <v>202</v>
      </c>
    </row>
    <row r="311" spans="1:22" x14ac:dyDescent="0.3">
      <c r="A311" t="str">
        <f t="shared" si="9"/>
        <v>DCF 90</v>
      </c>
      <c r="B311" s="1" t="s">
        <v>314</v>
      </c>
      <c r="Q311" s="26">
        <v>0.05</v>
      </c>
      <c r="S311" s="1" t="str">
        <f t="shared" si="8"/>
        <v>12 a 15 dias</v>
      </c>
      <c r="T311" s="8" t="s">
        <v>27</v>
      </c>
      <c r="V311" t="s">
        <v>202</v>
      </c>
    </row>
    <row r="312" spans="1:22" x14ac:dyDescent="0.3">
      <c r="A312" t="str">
        <f t="shared" si="9"/>
        <v>DCF 90</v>
      </c>
      <c r="B312" s="1" t="s">
        <v>315</v>
      </c>
      <c r="Q312" s="26">
        <v>0.05</v>
      </c>
      <c r="S312" s="1" t="str">
        <f t="shared" si="8"/>
        <v>12 a 15 dias</v>
      </c>
      <c r="T312" s="8" t="s">
        <v>27</v>
      </c>
      <c r="V312" t="s">
        <v>202</v>
      </c>
    </row>
    <row r="313" spans="1:22" x14ac:dyDescent="0.3">
      <c r="A313" t="str">
        <f t="shared" si="9"/>
        <v>DCF 90</v>
      </c>
      <c r="B313" s="1" t="s">
        <v>316</v>
      </c>
      <c r="Q313" s="26">
        <v>0.05</v>
      </c>
      <c r="S313" s="1" t="str">
        <f t="shared" si="8"/>
        <v>12 a 15 dias</v>
      </c>
      <c r="T313" s="8" t="s">
        <v>27</v>
      </c>
      <c r="V313" t="s">
        <v>202</v>
      </c>
    </row>
    <row r="314" spans="1:22" x14ac:dyDescent="0.3">
      <c r="A314" t="str">
        <f t="shared" si="9"/>
        <v>DCF 90</v>
      </c>
      <c r="B314" s="1" t="s">
        <v>317</v>
      </c>
      <c r="Q314" s="26">
        <v>0.05</v>
      </c>
      <c r="S314" s="1" t="str">
        <f t="shared" si="8"/>
        <v>12 a 15 dias</v>
      </c>
      <c r="T314" s="8" t="s">
        <v>27</v>
      </c>
      <c r="V314" t="s">
        <v>202</v>
      </c>
    </row>
    <row r="315" spans="1:22" x14ac:dyDescent="0.3">
      <c r="A315" t="str">
        <f t="shared" si="9"/>
        <v>DCF 90</v>
      </c>
      <c r="B315" s="1" t="s">
        <v>318</v>
      </c>
      <c r="Q315" s="26">
        <v>0.05</v>
      </c>
      <c r="S315" s="1" t="str">
        <f t="shared" si="8"/>
        <v>12 a 15 dias</v>
      </c>
      <c r="T315" s="8" t="s">
        <v>27</v>
      </c>
      <c r="V315" t="s">
        <v>202</v>
      </c>
    </row>
    <row r="316" spans="1:22" x14ac:dyDescent="0.3">
      <c r="A316" t="str">
        <f t="shared" si="9"/>
        <v>DCF 90</v>
      </c>
      <c r="B316" s="1" t="s">
        <v>319</v>
      </c>
      <c r="Q316" s="26">
        <v>0.05</v>
      </c>
      <c r="S316" s="1" t="str">
        <f t="shared" si="8"/>
        <v>12 a 15 dias</v>
      </c>
      <c r="T316" s="8" t="s">
        <v>27</v>
      </c>
      <c r="V316" t="s">
        <v>202</v>
      </c>
    </row>
    <row r="317" spans="1:22" x14ac:dyDescent="0.3">
      <c r="A317" t="str">
        <f t="shared" si="9"/>
        <v>DCF 90</v>
      </c>
      <c r="B317" s="1" t="s">
        <v>320</v>
      </c>
      <c r="Q317" s="26">
        <v>0.05</v>
      </c>
      <c r="S317" s="1" t="str">
        <f t="shared" si="8"/>
        <v>12 a 15 dias</v>
      </c>
      <c r="T317" s="8" t="s">
        <v>27</v>
      </c>
      <c r="V317" t="s">
        <v>202</v>
      </c>
    </row>
    <row r="318" spans="1:22" x14ac:dyDescent="0.3">
      <c r="A318" t="str">
        <f t="shared" si="9"/>
        <v>DCF 90</v>
      </c>
      <c r="B318" s="1" t="s">
        <v>321</v>
      </c>
      <c r="Q318" s="26">
        <v>0.05</v>
      </c>
      <c r="S318" s="1" t="str">
        <f t="shared" si="8"/>
        <v>12 a 15 dias</v>
      </c>
      <c r="T318" s="8" t="s">
        <v>27</v>
      </c>
      <c r="V318" t="s">
        <v>202</v>
      </c>
    </row>
    <row r="319" spans="1:22" x14ac:dyDescent="0.3">
      <c r="A319" t="str">
        <f t="shared" si="9"/>
        <v>DCF 90</v>
      </c>
      <c r="B319" s="1" t="s">
        <v>322</v>
      </c>
      <c r="Q319" s="26">
        <v>0.05</v>
      </c>
      <c r="S319" s="1" t="str">
        <f t="shared" si="8"/>
        <v>12 a 15 dias</v>
      </c>
      <c r="T319" s="8" t="s">
        <v>27</v>
      </c>
      <c r="V319" t="s">
        <v>202</v>
      </c>
    </row>
    <row r="320" spans="1:22" x14ac:dyDescent="0.3">
      <c r="A320" t="str">
        <f t="shared" si="9"/>
        <v>DCF 90</v>
      </c>
      <c r="B320" s="1" t="s">
        <v>323</v>
      </c>
      <c r="Q320" s="26">
        <v>0.05</v>
      </c>
      <c r="S320" s="1" t="str">
        <f t="shared" si="8"/>
        <v>12 a 15 dias</v>
      </c>
      <c r="T320" s="8" t="s">
        <v>27</v>
      </c>
      <c r="V320" t="s">
        <v>202</v>
      </c>
    </row>
    <row r="321" spans="1:22" x14ac:dyDescent="0.3">
      <c r="A321" t="str">
        <f t="shared" si="9"/>
        <v>DCF 90</v>
      </c>
      <c r="B321" s="1" t="s">
        <v>324</v>
      </c>
      <c r="Q321" s="26">
        <v>0.05</v>
      </c>
      <c r="S321" s="1" t="str">
        <f t="shared" si="8"/>
        <v>12 a 15 dias</v>
      </c>
      <c r="T321" s="8" t="s">
        <v>27</v>
      </c>
      <c r="V321" t="s">
        <v>202</v>
      </c>
    </row>
    <row r="322" spans="1:22" x14ac:dyDescent="0.3">
      <c r="A322" t="str">
        <f t="shared" si="9"/>
        <v>DCF 90</v>
      </c>
      <c r="B322" s="1" t="s">
        <v>325</v>
      </c>
      <c r="Q322" s="26">
        <v>0.05</v>
      </c>
      <c r="S322" s="1" t="str">
        <f t="shared" si="8"/>
        <v>12 a 15 dias</v>
      </c>
      <c r="T322" s="8" t="s">
        <v>27</v>
      </c>
      <c r="V322" t="s">
        <v>202</v>
      </c>
    </row>
    <row r="323" spans="1:22" x14ac:dyDescent="0.3">
      <c r="A323" t="str">
        <f t="shared" si="9"/>
        <v>DCF 90</v>
      </c>
      <c r="B323" s="1" t="s">
        <v>326</v>
      </c>
      <c r="Q323" s="26">
        <v>0.05</v>
      </c>
      <c r="S323" s="1" t="str">
        <f t="shared" si="8"/>
        <v>12 a 15 dias</v>
      </c>
      <c r="T323" s="8" t="s">
        <v>27</v>
      </c>
      <c r="V323" t="s">
        <v>202</v>
      </c>
    </row>
    <row r="324" spans="1:22" x14ac:dyDescent="0.3">
      <c r="A324" t="str">
        <f t="shared" si="9"/>
        <v>DCF 90</v>
      </c>
      <c r="B324" s="1" t="s">
        <v>327</v>
      </c>
      <c r="C324" s="6">
        <v>1030</v>
      </c>
      <c r="D324" s="6">
        <v>3175</v>
      </c>
      <c r="Q324" s="26">
        <v>0.05</v>
      </c>
      <c r="S324" s="1" t="str">
        <f t="shared" si="8"/>
        <v>12 a 15 dias</v>
      </c>
      <c r="T324" s="8" t="s">
        <v>27</v>
      </c>
      <c r="U324" s="17" t="s">
        <v>328</v>
      </c>
      <c r="V324" t="s">
        <v>202</v>
      </c>
    </row>
    <row r="325" spans="1:22" x14ac:dyDescent="0.3">
      <c r="A325" t="str">
        <f t="shared" si="9"/>
        <v>DCF 90</v>
      </c>
      <c r="B325" s="1" t="s">
        <v>329</v>
      </c>
      <c r="Q325" s="26">
        <v>0.05</v>
      </c>
      <c r="S325" s="1" t="str">
        <f t="shared" si="8"/>
        <v>12 a 15 dias</v>
      </c>
      <c r="T325" s="8" t="s">
        <v>27</v>
      </c>
      <c r="V325" t="s">
        <v>202</v>
      </c>
    </row>
    <row r="326" spans="1:22" x14ac:dyDescent="0.3">
      <c r="A326" t="str">
        <f t="shared" si="9"/>
        <v>DCF 90</v>
      </c>
      <c r="B326" s="1" t="s">
        <v>330</v>
      </c>
      <c r="Q326" s="26">
        <v>0.05</v>
      </c>
      <c r="S326" s="1" t="str">
        <f t="shared" si="8"/>
        <v>12 a 15 dias</v>
      </c>
      <c r="T326" s="8" t="s">
        <v>27</v>
      </c>
      <c r="V326" t="s">
        <v>202</v>
      </c>
    </row>
    <row r="327" spans="1:22" x14ac:dyDescent="0.3">
      <c r="A327" t="str">
        <f t="shared" si="9"/>
        <v>DCF 90</v>
      </c>
      <c r="B327" s="1" t="s">
        <v>331</v>
      </c>
      <c r="Q327" s="26">
        <v>0.05</v>
      </c>
      <c r="S327" s="1" t="str">
        <f t="shared" si="8"/>
        <v>12 a 15 dias</v>
      </c>
      <c r="T327" s="8" t="s">
        <v>27</v>
      </c>
      <c r="V327" t="s">
        <v>202</v>
      </c>
    </row>
    <row r="328" spans="1:22" x14ac:dyDescent="0.3">
      <c r="A328" t="str">
        <f t="shared" si="9"/>
        <v>DCF 90</v>
      </c>
      <c r="B328" s="1" t="s">
        <v>332</v>
      </c>
      <c r="Q328" s="26">
        <v>0.05</v>
      </c>
      <c r="S328" s="1" t="str">
        <f t="shared" si="8"/>
        <v>12 a 15 dias</v>
      </c>
      <c r="T328" s="8" t="s">
        <v>27</v>
      </c>
      <c r="V328" t="s">
        <v>202</v>
      </c>
    </row>
    <row r="329" spans="1:22" x14ac:dyDescent="0.3">
      <c r="A329" t="str">
        <f t="shared" si="9"/>
        <v>DCF 90</v>
      </c>
      <c r="B329" s="1" t="s">
        <v>333</v>
      </c>
      <c r="Q329" s="26">
        <v>0.05</v>
      </c>
      <c r="S329" s="1" t="str">
        <f t="shared" si="8"/>
        <v>12 a 15 dias</v>
      </c>
      <c r="T329" s="8" t="s">
        <v>27</v>
      </c>
      <c r="V329" t="s">
        <v>202</v>
      </c>
    </row>
    <row r="330" spans="1:22" x14ac:dyDescent="0.3">
      <c r="A330" t="str">
        <f t="shared" si="9"/>
        <v>DCF 90</v>
      </c>
      <c r="B330" s="1" t="s">
        <v>334</v>
      </c>
      <c r="Q330" s="26">
        <v>0.05</v>
      </c>
      <c r="S330" s="1" t="str">
        <f t="shared" si="8"/>
        <v>12 a 15 dias</v>
      </c>
      <c r="T330" s="8" t="s">
        <v>27</v>
      </c>
      <c r="V330" t="s">
        <v>202</v>
      </c>
    </row>
    <row r="331" spans="1:22" x14ac:dyDescent="0.3">
      <c r="A331" t="str">
        <f t="shared" si="9"/>
        <v>DCF 90</v>
      </c>
      <c r="B331" s="1" t="s">
        <v>335</v>
      </c>
      <c r="Q331" s="26">
        <v>0.05</v>
      </c>
      <c r="S331" s="1" t="str">
        <f t="shared" si="8"/>
        <v>12 a 15 dias</v>
      </c>
      <c r="T331" s="8" t="s">
        <v>27</v>
      </c>
      <c r="V331" t="s">
        <v>202</v>
      </c>
    </row>
    <row r="332" spans="1:22" x14ac:dyDescent="0.3">
      <c r="A332" t="str">
        <f t="shared" si="9"/>
        <v>DCF 90</v>
      </c>
      <c r="B332" s="1" t="s">
        <v>336</v>
      </c>
      <c r="Q332" s="26">
        <v>0.05</v>
      </c>
      <c r="S332" s="1" t="str">
        <f t="shared" si="8"/>
        <v>12 a 15 dias</v>
      </c>
      <c r="T332" s="8" t="s">
        <v>27</v>
      </c>
      <c r="V332" t="s">
        <v>202</v>
      </c>
    </row>
    <row r="333" spans="1:22" x14ac:dyDescent="0.3">
      <c r="A333" t="str">
        <f t="shared" si="9"/>
        <v>DCF 90</v>
      </c>
      <c r="B333" s="1" t="s">
        <v>337</v>
      </c>
      <c r="Q333" s="26">
        <v>0.05</v>
      </c>
      <c r="S333" s="1" t="str">
        <f t="shared" si="8"/>
        <v>12 a 15 dias</v>
      </c>
      <c r="T333" s="8" t="s">
        <v>27</v>
      </c>
      <c r="V333" t="s">
        <v>202</v>
      </c>
    </row>
    <row r="334" spans="1:22" x14ac:dyDescent="0.3">
      <c r="A334" t="str">
        <f t="shared" si="9"/>
        <v>DCF 90</v>
      </c>
      <c r="B334" s="1" t="s">
        <v>338</v>
      </c>
      <c r="Q334" s="26">
        <v>0.05</v>
      </c>
      <c r="S334" s="1" t="str">
        <f t="shared" si="8"/>
        <v>12 a 15 dias</v>
      </c>
      <c r="T334" s="8" t="s">
        <v>27</v>
      </c>
      <c r="V334" t="s">
        <v>202</v>
      </c>
    </row>
    <row r="335" spans="1:22" x14ac:dyDescent="0.3">
      <c r="A335" t="str">
        <f t="shared" si="9"/>
        <v>DCF 90</v>
      </c>
      <c r="B335" s="1" t="s">
        <v>339</v>
      </c>
      <c r="Q335" s="26">
        <v>0.05</v>
      </c>
      <c r="S335" s="1" t="str">
        <f t="shared" si="8"/>
        <v>12 a 15 dias</v>
      </c>
      <c r="T335" s="8" t="s">
        <v>27</v>
      </c>
      <c r="V335" t="s">
        <v>202</v>
      </c>
    </row>
    <row r="336" spans="1:22" x14ac:dyDescent="0.3">
      <c r="A336" t="str">
        <f t="shared" si="9"/>
        <v>DCF 90</v>
      </c>
      <c r="B336" s="1" t="s">
        <v>340</v>
      </c>
      <c r="Q336" s="26">
        <v>0.05</v>
      </c>
      <c r="S336" s="1" t="str">
        <f t="shared" si="8"/>
        <v>12 a 15 dias</v>
      </c>
      <c r="T336" s="8" t="s">
        <v>27</v>
      </c>
      <c r="V336" t="s">
        <v>202</v>
      </c>
    </row>
    <row r="337" spans="1:22" x14ac:dyDescent="0.3">
      <c r="A337" t="str">
        <f t="shared" si="9"/>
        <v>DCF 90</v>
      </c>
      <c r="B337" s="1" t="s">
        <v>341</v>
      </c>
      <c r="Q337" s="26">
        <v>0.05</v>
      </c>
      <c r="S337" s="1" t="str">
        <f t="shared" si="8"/>
        <v>12 a 15 dias</v>
      </c>
      <c r="T337" s="8" t="s">
        <v>27</v>
      </c>
      <c r="V337" t="s">
        <v>202</v>
      </c>
    </row>
    <row r="338" spans="1:22" x14ac:dyDescent="0.3">
      <c r="A338" t="str">
        <f t="shared" si="9"/>
        <v>DCF 90</v>
      </c>
      <c r="B338" s="1" t="s">
        <v>342</v>
      </c>
      <c r="Q338" s="26">
        <v>0.05</v>
      </c>
      <c r="S338" s="1" t="str">
        <f t="shared" si="8"/>
        <v>12 a 15 dias</v>
      </c>
      <c r="T338" s="8" t="s">
        <v>27</v>
      </c>
      <c r="V338" t="s">
        <v>202</v>
      </c>
    </row>
    <row r="339" spans="1:22" x14ac:dyDescent="0.3">
      <c r="A339" t="str">
        <f t="shared" si="9"/>
        <v>DCF 90</v>
      </c>
      <c r="B339" s="1" t="s">
        <v>343</v>
      </c>
      <c r="Q339" s="26">
        <v>0.05</v>
      </c>
      <c r="S339" s="1" t="str">
        <f t="shared" si="8"/>
        <v>12 a 15 dias</v>
      </c>
      <c r="T339" s="8" t="s">
        <v>27</v>
      </c>
      <c r="V339" t="s">
        <v>202</v>
      </c>
    </row>
    <row r="340" spans="1:22" x14ac:dyDescent="0.3">
      <c r="A340" t="str">
        <f t="shared" si="9"/>
        <v>DCF 90</v>
      </c>
      <c r="B340" s="1" t="s">
        <v>344</v>
      </c>
      <c r="Q340" s="26">
        <v>0.05</v>
      </c>
      <c r="S340" s="1" t="str">
        <f t="shared" si="8"/>
        <v>12 a 15 dias</v>
      </c>
      <c r="T340" s="8" t="s">
        <v>27</v>
      </c>
      <c r="V340" t="s">
        <v>202</v>
      </c>
    </row>
    <row r="341" spans="1:22" x14ac:dyDescent="0.3">
      <c r="A341" t="str">
        <f t="shared" si="9"/>
        <v>DCF 90</v>
      </c>
      <c r="B341" s="1" t="s">
        <v>345</v>
      </c>
      <c r="Q341" s="26">
        <v>0.05</v>
      </c>
      <c r="S341" s="1" t="str">
        <f t="shared" si="8"/>
        <v>12 a 15 dias</v>
      </c>
      <c r="T341" s="8" t="s">
        <v>27</v>
      </c>
      <c r="V341" t="s">
        <v>202</v>
      </c>
    </row>
    <row r="342" spans="1:22" x14ac:dyDescent="0.3">
      <c r="A342" t="str">
        <f t="shared" si="9"/>
        <v>DCF 90</v>
      </c>
      <c r="B342" s="1" t="s">
        <v>346</v>
      </c>
      <c r="Q342" s="26">
        <v>0.05</v>
      </c>
      <c r="S342" s="1" t="str">
        <f t="shared" si="8"/>
        <v>12 a 15 dias</v>
      </c>
      <c r="T342" s="8" t="s">
        <v>27</v>
      </c>
      <c r="V342" t="s">
        <v>202</v>
      </c>
    </row>
    <row r="343" spans="1:22" x14ac:dyDescent="0.3">
      <c r="A343" t="str">
        <f t="shared" si="9"/>
        <v>DCF 90</v>
      </c>
      <c r="B343" s="1" t="s">
        <v>347</v>
      </c>
      <c r="Q343" s="26">
        <v>0.05</v>
      </c>
      <c r="S343" s="1" t="str">
        <f t="shared" si="8"/>
        <v>12 a 15 dias</v>
      </c>
      <c r="T343" s="8" t="s">
        <v>27</v>
      </c>
      <c r="V343" t="s">
        <v>202</v>
      </c>
    </row>
    <row r="344" spans="1:22" x14ac:dyDescent="0.3">
      <c r="A344" t="str">
        <f t="shared" si="9"/>
        <v>DCF 90</v>
      </c>
      <c r="B344" s="1" t="s">
        <v>348</v>
      </c>
      <c r="Q344" s="26">
        <v>0.05</v>
      </c>
      <c r="S344" s="1" t="str">
        <f t="shared" si="8"/>
        <v>12 a 15 dias</v>
      </c>
      <c r="T344" s="8" t="s">
        <v>27</v>
      </c>
      <c r="V344" t="s">
        <v>202</v>
      </c>
    </row>
    <row r="345" spans="1:22" x14ac:dyDescent="0.3">
      <c r="A345" t="str">
        <f t="shared" si="9"/>
        <v>DCF 90</v>
      </c>
      <c r="B345" s="1" t="s">
        <v>349</v>
      </c>
      <c r="Q345" s="26">
        <v>0.05</v>
      </c>
      <c r="S345" s="1" t="str">
        <f t="shared" si="8"/>
        <v>12 a 15 dias</v>
      </c>
      <c r="T345" s="8" t="s">
        <v>27</v>
      </c>
      <c r="V345" t="s">
        <v>202</v>
      </c>
    </row>
    <row r="346" spans="1:22" x14ac:dyDescent="0.3">
      <c r="A346" t="str">
        <f t="shared" si="9"/>
        <v>DCF 90</v>
      </c>
      <c r="B346" s="1" t="s">
        <v>350</v>
      </c>
      <c r="Q346" s="26">
        <v>0.05</v>
      </c>
      <c r="S346" s="1" t="str">
        <f t="shared" si="8"/>
        <v>12 a 15 dias</v>
      </c>
      <c r="T346" s="8" t="s">
        <v>27</v>
      </c>
      <c r="V346" t="s">
        <v>202</v>
      </c>
    </row>
    <row r="347" spans="1:22" x14ac:dyDescent="0.3">
      <c r="A347" t="str">
        <f t="shared" si="9"/>
        <v>DCF 90</v>
      </c>
      <c r="B347" s="1" t="s">
        <v>351</v>
      </c>
      <c r="Q347" s="26">
        <v>0.05</v>
      </c>
      <c r="S347" s="1" t="str">
        <f t="shared" si="8"/>
        <v>12 a 15 dias</v>
      </c>
      <c r="T347" s="8" t="s">
        <v>27</v>
      </c>
      <c r="V347" t="s">
        <v>202</v>
      </c>
    </row>
    <row r="348" spans="1:22" x14ac:dyDescent="0.3">
      <c r="A348" t="str">
        <f t="shared" si="9"/>
        <v>DCF 90</v>
      </c>
      <c r="B348" s="1" t="s">
        <v>352</v>
      </c>
      <c r="Q348" s="26">
        <v>0.05</v>
      </c>
      <c r="S348" s="1" t="str">
        <f t="shared" si="8"/>
        <v>12 a 15 dias</v>
      </c>
      <c r="T348" s="8" t="s">
        <v>27</v>
      </c>
      <c r="V348" t="s">
        <v>202</v>
      </c>
    </row>
    <row r="349" spans="1:22" x14ac:dyDescent="0.3">
      <c r="A349" t="str">
        <f t="shared" si="9"/>
        <v>DCF 90</v>
      </c>
      <c r="B349" s="1" t="s">
        <v>353</v>
      </c>
      <c r="Q349" s="26">
        <v>0.05</v>
      </c>
      <c r="S349" s="1" t="str">
        <f t="shared" si="8"/>
        <v>12 a 15 dias</v>
      </c>
      <c r="T349" s="8" t="s">
        <v>27</v>
      </c>
      <c r="V349" t="s">
        <v>202</v>
      </c>
    </row>
    <row r="350" spans="1:22" x14ac:dyDescent="0.3">
      <c r="A350" t="str">
        <f t="shared" si="9"/>
        <v>DCF 90</v>
      </c>
      <c r="B350" s="1" t="s">
        <v>354</v>
      </c>
      <c r="Q350" s="26">
        <v>0.05</v>
      </c>
      <c r="S350" s="1" t="str">
        <f t="shared" si="8"/>
        <v>12 a 15 dias</v>
      </c>
      <c r="T350" s="8" t="s">
        <v>27</v>
      </c>
      <c r="V350" t="s">
        <v>202</v>
      </c>
    </row>
    <row r="351" spans="1:22" x14ac:dyDescent="0.3">
      <c r="A351" t="str">
        <f t="shared" si="9"/>
        <v>DCF 90</v>
      </c>
      <c r="B351" s="1" t="s">
        <v>355</v>
      </c>
      <c r="Q351" s="26">
        <v>0.05</v>
      </c>
      <c r="S351" s="1" t="str">
        <f t="shared" si="8"/>
        <v>12 a 15 dias</v>
      </c>
      <c r="T351" s="8" t="s">
        <v>27</v>
      </c>
      <c r="V351" t="s">
        <v>202</v>
      </c>
    </row>
    <row r="352" spans="1:22" x14ac:dyDescent="0.3">
      <c r="A352" t="str">
        <f t="shared" si="9"/>
        <v>DCF 90</v>
      </c>
      <c r="B352" s="1" t="s">
        <v>356</v>
      </c>
      <c r="Q352" s="26">
        <v>0.05</v>
      </c>
      <c r="S352" s="1" t="str">
        <f t="shared" si="8"/>
        <v>12 a 15 dias</v>
      </c>
      <c r="T352" s="8" t="s">
        <v>27</v>
      </c>
      <c r="V352" t="s">
        <v>202</v>
      </c>
    </row>
    <row r="353" spans="1:22" x14ac:dyDescent="0.3">
      <c r="A353" t="str">
        <f t="shared" si="9"/>
        <v>DCF 90</v>
      </c>
      <c r="B353" s="1" t="s">
        <v>357</v>
      </c>
      <c r="Q353" s="26">
        <v>0.05</v>
      </c>
      <c r="S353" s="1" t="str">
        <f t="shared" si="8"/>
        <v>12 a 15 dias</v>
      </c>
      <c r="T353" s="8" t="s">
        <v>27</v>
      </c>
      <c r="V353" t="s">
        <v>202</v>
      </c>
    </row>
    <row r="354" spans="1:22" x14ac:dyDescent="0.3">
      <c r="A354" t="str">
        <f t="shared" si="9"/>
        <v>DCF 90</v>
      </c>
      <c r="B354" s="1" t="s">
        <v>358</v>
      </c>
      <c r="Q354" s="26">
        <v>0.05</v>
      </c>
      <c r="S354" s="1" t="str">
        <f t="shared" si="8"/>
        <v>12 a 15 dias</v>
      </c>
      <c r="T354" s="8" t="s">
        <v>27</v>
      </c>
      <c r="V354" t="s">
        <v>202</v>
      </c>
    </row>
    <row r="355" spans="1:22" x14ac:dyDescent="0.3">
      <c r="A355" t="str">
        <f t="shared" si="9"/>
        <v>DCF 90</v>
      </c>
      <c r="B355" s="1" t="s">
        <v>359</v>
      </c>
      <c r="Q355" s="26">
        <v>0.05</v>
      </c>
      <c r="S355" s="1" t="str">
        <f t="shared" si="8"/>
        <v>12 a 15 dias</v>
      </c>
      <c r="T355" s="8" t="s">
        <v>27</v>
      </c>
      <c r="V355" t="s">
        <v>202</v>
      </c>
    </row>
    <row r="356" spans="1:22" x14ac:dyDescent="0.3">
      <c r="A356" t="str">
        <f t="shared" si="9"/>
        <v>DCF 90</v>
      </c>
      <c r="B356" s="1" t="s">
        <v>360</v>
      </c>
      <c r="Q356" s="26">
        <v>0.05</v>
      </c>
      <c r="S356" s="1" t="str">
        <f t="shared" si="8"/>
        <v>12 a 15 dias</v>
      </c>
      <c r="T356" s="8" t="s">
        <v>27</v>
      </c>
      <c r="V356" t="s">
        <v>202</v>
      </c>
    </row>
    <row r="357" spans="1:22" x14ac:dyDescent="0.3">
      <c r="A357" t="str">
        <f t="shared" si="9"/>
        <v>DCF 90</v>
      </c>
      <c r="B357" s="1" t="s">
        <v>361</v>
      </c>
      <c r="Q357" s="26">
        <v>0.05</v>
      </c>
      <c r="S357" s="1" t="str">
        <f t="shared" si="8"/>
        <v>12 a 15 dias</v>
      </c>
      <c r="T357" s="8" t="s">
        <v>27</v>
      </c>
      <c r="V357" t="s">
        <v>202</v>
      </c>
    </row>
    <row r="358" spans="1:22" x14ac:dyDescent="0.3">
      <c r="A358" t="str">
        <f t="shared" si="9"/>
        <v>DCF 90</v>
      </c>
      <c r="B358" s="1" t="s">
        <v>362</v>
      </c>
      <c r="Q358" s="26">
        <v>0.05</v>
      </c>
      <c r="S358" s="1" t="str">
        <f t="shared" si="8"/>
        <v>12 a 15 dias</v>
      </c>
      <c r="T358" s="8" t="s">
        <v>27</v>
      </c>
      <c r="V358" t="s">
        <v>202</v>
      </c>
    </row>
    <row r="359" spans="1:22" x14ac:dyDescent="0.3">
      <c r="A359" t="str">
        <f t="shared" si="9"/>
        <v>DCF 90</v>
      </c>
      <c r="B359" s="1" t="s">
        <v>363</v>
      </c>
      <c r="Q359" s="26">
        <v>0.05</v>
      </c>
      <c r="S359" s="1" t="str">
        <f t="shared" si="8"/>
        <v>12 a 15 dias</v>
      </c>
      <c r="T359" s="8" t="s">
        <v>27</v>
      </c>
      <c r="V359" t="s">
        <v>202</v>
      </c>
    </row>
    <row r="360" spans="1:22" x14ac:dyDescent="0.3">
      <c r="A360" t="str">
        <f t="shared" si="9"/>
        <v>DCF 90</v>
      </c>
      <c r="B360" s="1" t="s">
        <v>364</v>
      </c>
      <c r="Q360" s="26">
        <v>0.05</v>
      </c>
      <c r="S360" s="1" t="str">
        <f t="shared" si="8"/>
        <v>12 a 15 dias</v>
      </c>
      <c r="T360" s="8" t="s">
        <v>27</v>
      </c>
      <c r="V360" t="s">
        <v>202</v>
      </c>
    </row>
    <row r="361" spans="1:22" x14ac:dyDescent="0.3">
      <c r="A361" t="str">
        <f t="shared" si="9"/>
        <v>DCF 90</v>
      </c>
      <c r="B361" s="1" t="s">
        <v>365</v>
      </c>
      <c r="Q361" s="26">
        <v>0.05</v>
      </c>
      <c r="S361" s="1" t="str">
        <f t="shared" si="8"/>
        <v>12 a 15 dias</v>
      </c>
      <c r="T361" s="8" t="s">
        <v>27</v>
      </c>
      <c r="V361" t="s">
        <v>202</v>
      </c>
    </row>
    <row r="362" spans="1:22" x14ac:dyDescent="0.3">
      <c r="A362" t="str">
        <f t="shared" si="9"/>
        <v>DCF 90</v>
      </c>
      <c r="B362" s="1" t="s">
        <v>366</v>
      </c>
      <c r="Q362" s="26">
        <v>0.05</v>
      </c>
      <c r="S362" s="1" t="str">
        <f t="shared" si="8"/>
        <v>12 a 15 dias</v>
      </c>
      <c r="T362" s="8" t="s">
        <v>27</v>
      </c>
      <c r="V362" t="s">
        <v>202</v>
      </c>
    </row>
    <row r="363" spans="1:22" x14ac:dyDescent="0.3">
      <c r="A363" t="str">
        <f t="shared" si="9"/>
        <v>DCF 90</v>
      </c>
      <c r="B363" s="1" t="s">
        <v>367</v>
      </c>
      <c r="Q363" s="26">
        <v>0.05</v>
      </c>
      <c r="S363" s="1" t="str">
        <f t="shared" si="8"/>
        <v>12 a 15 dias</v>
      </c>
      <c r="T363" s="8" t="s">
        <v>27</v>
      </c>
      <c r="V363" t="s">
        <v>202</v>
      </c>
    </row>
    <row r="364" spans="1:22" x14ac:dyDescent="0.3">
      <c r="A364" t="str">
        <f t="shared" si="9"/>
        <v>DCF 90</v>
      </c>
      <c r="B364" s="1" t="s">
        <v>368</v>
      </c>
      <c r="Q364" s="26">
        <v>0.05</v>
      </c>
      <c r="S364" s="1" t="str">
        <f t="shared" si="8"/>
        <v>12 a 15 dias</v>
      </c>
      <c r="T364" s="8" t="s">
        <v>27</v>
      </c>
      <c r="V364" t="s">
        <v>202</v>
      </c>
    </row>
    <row r="365" spans="1:22" x14ac:dyDescent="0.3">
      <c r="A365" t="str">
        <f t="shared" si="9"/>
        <v>DCF 90</v>
      </c>
      <c r="B365" s="1" t="s">
        <v>369</v>
      </c>
      <c r="Q365" s="26">
        <v>0.05</v>
      </c>
      <c r="S365" s="1" t="str">
        <f t="shared" ref="S365:S380" si="10">"12 a 15 dias"</f>
        <v>12 a 15 dias</v>
      </c>
      <c r="T365" s="8" t="s">
        <v>27</v>
      </c>
      <c r="V365" t="s">
        <v>202</v>
      </c>
    </row>
    <row r="366" spans="1:22" x14ac:dyDescent="0.3">
      <c r="A366" t="str">
        <f>"DCF 90"</f>
        <v>DCF 90</v>
      </c>
      <c r="B366" s="1" t="s">
        <v>370</v>
      </c>
      <c r="Q366" s="26">
        <v>0.05</v>
      </c>
      <c r="S366" s="1" t="str">
        <f t="shared" si="10"/>
        <v>12 a 15 dias</v>
      </c>
      <c r="T366" s="8" t="s">
        <v>27</v>
      </c>
      <c r="V366" t="s">
        <v>202</v>
      </c>
    </row>
    <row r="367" spans="1:22" x14ac:dyDescent="0.3">
      <c r="A367" t="str">
        <f t="shared" ref="A367:A430" si="11">"DCF 90"</f>
        <v>DCF 90</v>
      </c>
      <c r="B367" s="1" t="s">
        <v>371</v>
      </c>
      <c r="Q367" s="26">
        <v>0.05</v>
      </c>
      <c r="S367" s="1" t="str">
        <f t="shared" si="10"/>
        <v>12 a 15 dias</v>
      </c>
      <c r="T367" s="8" t="s">
        <v>27</v>
      </c>
      <c r="V367" t="s">
        <v>202</v>
      </c>
    </row>
    <row r="368" spans="1:22" x14ac:dyDescent="0.3">
      <c r="A368" t="str">
        <f t="shared" si="11"/>
        <v>DCF 90</v>
      </c>
      <c r="B368" s="1" t="s">
        <v>372</v>
      </c>
      <c r="Q368" s="26">
        <v>0.05</v>
      </c>
      <c r="S368" s="1" t="str">
        <f t="shared" si="10"/>
        <v>12 a 15 dias</v>
      </c>
      <c r="T368" s="8" t="s">
        <v>27</v>
      </c>
      <c r="V368" t="s">
        <v>202</v>
      </c>
    </row>
    <row r="369" spans="1:22" x14ac:dyDescent="0.3">
      <c r="A369" t="str">
        <f t="shared" si="11"/>
        <v>DCF 90</v>
      </c>
      <c r="B369" s="1" t="s">
        <v>373</v>
      </c>
      <c r="Q369" s="26">
        <v>0.05</v>
      </c>
      <c r="S369" s="1" t="str">
        <f t="shared" si="10"/>
        <v>12 a 15 dias</v>
      </c>
      <c r="T369" s="8" t="s">
        <v>27</v>
      </c>
      <c r="V369" t="s">
        <v>202</v>
      </c>
    </row>
    <row r="370" spans="1:22" x14ac:dyDescent="0.3">
      <c r="A370" t="str">
        <f t="shared" si="11"/>
        <v>DCF 90</v>
      </c>
      <c r="B370" s="1" t="s">
        <v>374</v>
      </c>
      <c r="Q370" s="26">
        <v>0.05</v>
      </c>
      <c r="S370" s="1" t="str">
        <f t="shared" si="10"/>
        <v>12 a 15 dias</v>
      </c>
      <c r="T370" s="8" t="s">
        <v>27</v>
      </c>
      <c r="V370" t="s">
        <v>202</v>
      </c>
    </row>
    <row r="371" spans="1:22" x14ac:dyDescent="0.3">
      <c r="A371" t="str">
        <f t="shared" si="11"/>
        <v>DCF 90</v>
      </c>
      <c r="B371" s="1" t="s">
        <v>375</v>
      </c>
      <c r="Q371" s="26">
        <v>0.05</v>
      </c>
      <c r="S371" s="1" t="str">
        <f t="shared" si="10"/>
        <v>12 a 15 dias</v>
      </c>
      <c r="T371" s="8" t="s">
        <v>27</v>
      </c>
      <c r="V371" t="s">
        <v>202</v>
      </c>
    </row>
    <row r="372" spans="1:22" x14ac:dyDescent="0.3">
      <c r="A372" t="str">
        <f t="shared" si="11"/>
        <v>DCF 90</v>
      </c>
      <c r="B372" s="1" t="s">
        <v>376</v>
      </c>
      <c r="Q372" s="26">
        <v>0.05</v>
      </c>
      <c r="S372" s="1" t="str">
        <f t="shared" si="10"/>
        <v>12 a 15 dias</v>
      </c>
      <c r="T372" s="8" t="s">
        <v>27</v>
      </c>
      <c r="V372" t="s">
        <v>202</v>
      </c>
    </row>
    <row r="373" spans="1:22" x14ac:dyDescent="0.3">
      <c r="A373" t="str">
        <f t="shared" si="11"/>
        <v>DCF 90</v>
      </c>
      <c r="B373" s="1" t="s">
        <v>377</v>
      </c>
      <c r="Q373" s="26">
        <v>0.05</v>
      </c>
      <c r="S373" s="1" t="str">
        <f t="shared" si="10"/>
        <v>12 a 15 dias</v>
      </c>
      <c r="T373" s="8" t="s">
        <v>27</v>
      </c>
      <c r="V373" t="s">
        <v>202</v>
      </c>
    </row>
    <row r="374" spans="1:22" x14ac:dyDescent="0.3">
      <c r="A374" t="str">
        <f t="shared" si="11"/>
        <v>DCF 90</v>
      </c>
      <c r="B374" s="1" t="s">
        <v>378</v>
      </c>
      <c r="C374" s="6">
        <v>1252</v>
      </c>
      <c r="D374" s="6">
        <v>3390</v>
      </c>
      <c r="Q374" s="26">
        <v>0.05</v>
      </c>
      <c r="S374" s="1" t="str">
        <f t="shared" si="10"/>
        <v>12 a 15 dias</v>
      </c>
      <c r="T374" s="8" t="s">
        <v>27</v>
      </c>
      <c r="U374" s="17">
        <v>45017</v>
      </c>
      <c r="V374" t="s">
        <v>202</v>
      </c>
    </row>
    <row r="375" spans="1:22" x14ac:dyDescent="0.3">
      <c r="A375" t="str">
        <f t="shared" si="11"/>
        <v>DCF 90</v>
      </c>
      <c r="B375" s="1" t="s">
        <v>379</v>
      </c>
      <c r="C375" s="6">
        <v>1340</v>
      </c>
      <c r="Q375" s="26">
        <v>0.05</v>
      </c>
      <c r="S375" s="1" t="str">
        <f t="shared" si="10"/>
        <v>12 a 15 dias</v>
      </c>
      <c r="T375" s="8" t="s">
        <v>27</v>
      </c>
      <c r="U375" s="17">
        <v>45098</v>
      </c>
      <c r="V375" t="s">
        <v>202</v>
      </c>
    </row>
    <row r="376" spans="1:22" ht="15.75" customHeight="1" x14ac:dyDescent="0.3">
      <c r="A376" t="str">
        <f t="shared" si="11"/>
        <v>DCF 90</v>
      </c>
      <c r="B376" s="1" t="s">
        <v>380</v>
      </c>
      <c r="C376" s="6">
        <v>1390</v>
      </c>
      <c r="D376" s="6">
        <v>3528</v>
      </c>
      <c r="Q376" s="26">
        <v>0.05</v>
      </c>
      <c r="S376" s="1" t="str">
        <f t="shared" si="10"/>
        <v>12 a 15 dias</v>
      </c>
      <c r="T376" s="8" t="s">
        <v>27</v>
      </c>
      <c r="U376" s="17">
        <v>45017</v>
      </c>
      <c r="V376" t="s">
        <v>202</v>
      </c>
    </row>
    <row r="377" spans="1:22" x14ac:dyDescent="0.3">
      <c r="A377" t="str">
        <f t="shared" si="11"/>
        <v>DCF 90</v>
      </c>
      <c r="B377" s="1" t="s">
        <v>381</v>
      </c>
      <c r="Q377" s="26">
        <v>0.05</v>
      </c>
      <c r="S377" s="1" t="str">
        <f t="shared" si="10"/>
        <v>12 a 15 dias</v>
      </c>
      <c r="T377" s="8" t="s">
        <v>27</v>
      </c>
      <c r="V377" t="s">
        <v>202</v>
      </c>
    </row>
    <row r="378" spans="1:22" x14ac:dyDescent="0.3">
      <c r="A378" t="str">
        <f t="shared" si="11"/>
        <v>DCF 90</v>
      </c>
      <c r="B378" s="1" t="s">
        <v>382</v>
      </c>
      <c r="Q378" s="26">
        <v>0.05</v>
      </c>
      <c r="S378" s="1" t="str">
        <f t="shared" si="10"/>
        <v>12 a 15 dias</v>
      </c>
      <c r="T378" s="8" t="s">
        <v>27</v>
      </c>
      <c r="V378" t="s">
        <v>202</v>
      </c>
    </row>
    <row r="379" spans="1:22" x14ac:dyDescent="0.3">
      <c r="A379" t="str">
        <f t="shared" si="11"/>
        <v>DCF 90</v>
      </c>
      <c r="B379" s="1" t="s">
        <v>383</v>
      </c>
      <c r="Q379" s="26">
        <v>0.05</v>
      </c>
      <c r="S379" s="1" t="str">
        <f t="shared" si="10"/>
        <v>12 a 15 dias</v>
      </c>
      <c r="T379" s="8" t="s">
        <v>27</v>
      </c>
      <c r="V379" t="s">
        <v>202</v>
      </c>
    </row>
    <row r="380" spans="1:22" x14ac:dyDescent="0.3">
      <c r="A380" t="str">
        <f t="shared" si="11"/>
        <v>DCF 90</v>
      </c>
      <c r="B380" s="1" t="s">
        <v>384</v>
      </c>
      <c r="Q380" s="26">
        <v>0.05</v>
      </c>
      <c r="S380" s="1" t="str">
        <f t="shared" si="10"/>
        <v>12 a 15 dias</v>
      </c>
      <c r="T380" s="8" t="s">
        <v>27</v>
      </c>
      <c r="V380" t="s">
        <v>202</v>
      </c>
    </row>
    <row r="381" spans="1:22" x14ac:dyDescent="0.3">
      <c r="A381" t="str">
        <f t="shared" si="11"/>
        <v>DCF 90</v>
      </c>
      <c r="B381" s="1" t="s">
        <v>385</v>
      </c>
      <c r="Q381" s="26">
        <v>0.05</v>
      </c>
      <c r="S381" s="1" t="str">
        <f t="shared" ref="S381:S444" si="12">"12 a 15 dias"</f>
        <v>12 a 15 dias</v>
      </c>
      <c r="T381" s="8" t="s">
        <v>27</v>
      </c>
      <c r="V381" t="s">
        <v>202</v>
      </c>
    </row>
    <row r="382" spans="1:22" x14ac:dyDescent="0.3">
      <c r="A382" t="str">
        <f t="shared" si="11"/>
        <v>DCF 90</v>
      </c>
      <c r="B382" s="1" t="s">
        <v>386</v>
      </c>
      <c r="Q382" s="26">
        <v>0.05</v>
      </c>
      <c r="S382" s="1" t="str">
        <f t="shared" si="12"/>
        <v>12 a 15 dias</v>
      </c>
      <c r="T382" s="8" t="s">
        <v>27</v>
      </c>
      <c r="V382" t="s">
        <v>202</v>
      </c>
    </row>
    <row r="383" spans="1:22" x14ac:dyDescent="0.3">
      <c r="A383" t="str">
        <f t="shared" si="11"/>
        <v>DCF 90</v>
      </c>
      <c r="B383" s="1" t="s">
        <v>387</v>
      </c>
      <c r="Q383" s="26">
        <v>0.05</v>
      </c>
      <c r="S383" s="1" t="str">
        <f t="shared" si="12"/>
        <v>12 a 15 dias</v>
      </c>
      <c r="T383" s="8" t="s">
        <v>27</v>
      </c>
      <c r="V383" t="s">
        <v>202</v>
      </c>
    </row>
    <row r="384" spans="1:22" x14ac:dyDescent="0.3">
      <c r="A384" t="str">
        <f t="shared" si="11"/>
        <v>DCF 90</v>
      </c>
      <c r="B384" s="1" t="s">
        <v>388</v>
      </c>
      <c r="Q384" s="26">
        <v>0.05</v>
      </c>
      <c r="S384" s="1" t="str">
        <f t="shared" si="12"/>
        <v>12 a 15 dias</v>
      </c>
      <c r="T384" s="8" t="s">
        <v>27</v>
      </c>
      <c r="V384" t="s">
        <v>202</v>
      </c>
    </row>
    <row r="385" spans="1:22" x14ac:dyDescent="0.3">
      <c r="A385" t="str">
        <f t="shared" si="11"/>
        <v>DCF 90</v>
      </c>
      <c r="B385" s="1" t="s">
        <v>389</v>
      </c>
      <c r="Q385" s="26">
        <v>0.05</v>
      </c>
      <c r="S385" s="1" t="str">
        <f t="shared" si="12"/>
        <v>12 a 15 dias</v>
      </c>
      <c r="T385" s="8" t="s">
        <v>27</v>
      </c>
      <c r="V385" t="s">
        <v>202</v>
      </c>
    </row>
    <row r="386" spans="1:22" x14ac:dyDescent="0.3">
      <c r="A386" t="str">
        <f t="shared" si="11"/>
        <v>DCF 90</v>
      </c>
      <c r="B386" s="1" t="s">
        <v>390</v>
      </c>
      <c r="Q386" s="26">
        <v>0.05</v>
      </c>
      <c r="S386" s="1" t="str">
        <f t="shared" si="12"/>
        <v>12 a 15 dias</v>
      </c>
      <c r="T386" s="8" t="s">
        <v>27</v>
      </c>
      <c r="V386" t="s">
        <v>202</v>
      </c>
    </row>
    <row r="387" spans="1:22" x14ac:dyDescent="0.3">
      <c r="A387" t="str">
        <f t="shared" si="11"/>
        <v>DCF 90</v>
      </c>
      <c r="B387" s="1" t="s">
        <v>391</v>
      </c>
      <c r="C387" s="6">
        <v>1391</v>
      </c>
      <c r="Q387" s="26">
        <v>0.05</v>
      </c>
      <c r="S387" s="1" t="str">
        <f t="shared" si="12"/>
        <v>12 a 15 dias</v>
      </c>
      <c r="T387" s="8" t="s">
        <v>27</v>
      </c>
      <c r="U387" s="17">
        <v>45106</v>
      </c>
      <c r="V387" t="s">
        <v>202</v>
      </c>
    </row>
    <row r="388" spans="1:22" x14ac:dyDescent="0.3">
      <c r="A388" t="str">
        <f t="shared" si="11"/>
        <v>DCF 90</v>
      </c>
      <c r="B388" s="1" t="s">
        <v>392</v>
      </c>
      <c r="Q388" s="26">
        <v>0.05</v>
      </c>
      <c r="S388" s="1" t="str">
        <f t="shared" si="12"/>
        <v>12 a 15 dias</v>
      </c>
      <c r="T388" s="8" t="s">
        <v>27</v>
      </c>
      <c r="V388" t="s">
        <v>202</v>
      </c>
    </row>
    <row r="389" spans="1:22" x14ac:dyDescent="0.3">
      <c r="A389" t="str">
        <f t="shared" si="11"/>
        <v>DCF 90</v>
      </c>
      <c r="B389" s="1" t="s">
        <v>393</v>
      </c>
      <c r="Q389" s="26">
        <v>0.05</v>
      </c>
      <c r="S389" s="1" t="str">
        <f t="shared" si="12"/>
        <v>12 a 15 dias</v>
      </c>
      <c r="T389" s="8" t="s">
        <v>27</v>
      </c>
      <c r="V389" t="s">
        <v>202</v>
      </c>
    </row>
    <row r="390" spans="1:22" x14ac:dyDescent="0.3">
      <c r="A390" t="str">
        <f t="shared" si="11"/>
        <v>DCF 90</v>
      </c>
      <c r="B390" s="1" t="s">
        <v>394</v>
      </c>
      <c r="Q390" s="26">
        <v>0.05</v>
      </c>
      <c r="S390" s="1" t="str">
        <f t="shared" si="12"/>
        <v>12 a 15 dias</v>
      </c>
      <c r="T390" s="8" t="s">
        <v>27</v>
      </c>
      <c r="V390" t="s">
        <v>202</v>
      </c>
    </row>
    <row r="391" spans="1:22" x14ac:dyDescent="0.3">
      <c r="A391" t="str">
        <f t="shared" si="11"/>
        <v>DCF 90</v>
      </c>
      <c r="B391" s="1" t="s">
        <v>395</v>
      </c>
      <c r="Q391" s="26">
        <v>0.05</v>
      </c>
      <c r="S391" s="1" t="str">
        <f t="shared" si="12"/>
        <v>12 a 15 dias</v>
      </c>
      <c r="T391" s="8" t="s">
        <v>27</v>
      </c>
      <c r="V391" t="s">
        <v>202</v>
      </c>
    </row>
    <row r="392" spans="1:22" x14ac:dyDescent="0.3">
      <c r="A392" t="str">
        <f t="shared" si="11"/>
        <v>DCF 90</v>
      </c>
      <c r="B392" s="1" t="s">
        <v>396</v>
      </c>
      <c r="Q392" s="26">
        <v>0.05</v>
      </c>
      <c r="S392" s="1" t="str">
        <f t="shared" si="12"/>
        <v>12 a 15 dias</v>
      </c>
      <c r="T392" s="8" t="s">
        <v>27</v>
      </c>
      <c r="V392" t="s">
        <v>202</v>
      </c>
    </row>
    <row r="393" spans="1:22" x14ac:dyDescent="0.3">
      <c r="A393" t="str">
        <f t="shared" si="11"/>
        <v>DCF 90</v>
      </c>
      <c r="B393" s="1" t="s">
        <v>397</v>
      </c>
      <c r="Q393" s="26">
        <v>0.05</v>
      </c>
      <c r="S393" s="1" t="str">
        <f t="shared" si="12"/>
        <v>12 a 15 dias</v>
      </c>
      <c r="T393" s="8" t="s">
        <v>27</v>
      </c>
      <c r="V393" t="s">
        <v>202</v>
      </c>
    </row>
    <row r="394" spans="1:22" x14ac:dyDescent="0.3">
      <c r="A394" t="str">
        <f t="shared" si="11"/>
        <v>DCF 90</v>
      </c>
      <c r="B394" s="1" t="s">
        <v>398</v>
      </c>
      <c r="Q394" s="26">
        <v>0.05</v>
      </c>
      <c r="S394" s="1" t="str">
        <f t="shared" si="12"/>
        <v>12 a 15 dias</v>
      </c>
      <c r="T394" s="8" t="s">
        <v>27</v>
      </c>
      <c r="V394" t="s">
        <v>202</v>
      </c>
    </row>
    <row r="395" spans="1:22" x14ac:dyDescent="0.3">
      <c r="A395" t="str">
        <f t="shared" si="11"/>
        <v>DCF 90</v>
      </c>
      <c r="B395" s="1" t="s">
        <v>399</v>
      </c>
      <c r="Q395" s="26">
        <v>0.05</v>
      </c>
      <c r="S395" s="1" t="str">
        <f t="shared" si="12"/>
        <v>12 a 15 dias</v>
      </c>
      <c r="T395" s="8" t="s">
        <v>27</v>
      </c>
      <c r="V395" t="s">
        <v>202</v>
      </c>
    </row>
    <row r="396" spans="1:22" x14ac:dyDescent="0.3">
      <c r="A396" t="str">
        <f t="shared" si="11"/>
        <v>DCF 90</v>
      </c>
      <c r="B396" s="1" t="s">
        <v>400</v>
      </c>
      <c r="Q396" s="26">
        <v>0.05</v>
      </c>
      <c r="S396" s="1" t="str">
        <f t="shared" si="12"/>
        <v>12 a 15 dias</v>
      </c>
      <c r="T396" s="8" t="s">
        <v>27</v>
      </c>
      <c r="V396" t="s">
        <v>202</v>
      </c>
    </row>
    <row r="397" spans="1:22" x14ac:dyDescent="0.3">
      <c r="A397" t="str">
        <f t="shared" si="11"/>
        <v>DCF 90</v>
      </c>
      <c r="B397" s="1" t="s">
        <v>401</v>
      </c>
      <c r="Q397" s="26">
        <v>0.05</v>
      </c>
      <c r="S397" s="1" t="str">
        <f t="shared" si="12"/>
        <v>12 a 15 dias</v>
      </c>
      <c r="T397" s="8" t="s">
        <v>27</v>
      </c>
      <c r="V397" t="s">
        <v>202</v>
      </c>
    </row>
    <row r="398" spans="1:22" x14ac:dyDescent="0.3">
      <c r="A398" t="str">
        <f t="shared" si="11"/>
        <v>DCF 90</v>
      </c>
      <c r="B398" s="1" t="s">
        <v>402</v>
      </c>
      <c r="Q398" s="26">
        <v>0.05</v>
      </c>
      <c r="S398" s="1" t="str">
        <f t="shared" si="12"/>
        <v>12 a 15 dias</v>
      </c>
      <c r="T398" s="8" t="s">
        <v>27</v>
      </c>
      <c r="V398" t="s">
        <v>202</v>
      </c>
    </row>
    <row r="399" spans="1:22" x14ac:dyDescent="0.3">
      <c r="A399" t="str">
        <f t="shared" si="11"/>
        <v>DCF 90</v>
      </c>
      <c r="B399" s="1" t="s">
        <v>403</v>
      </c>
      <c r="C399" s="6">
        <v>1362</v>
      </c>
      <c r="D399" s="6">
        <v>3500</v>
      </c>
      <c r="Q399" s="26">
        <v>0.05</v>
      </c>
      <c r="S399" s="1" t="str">
        <f t="shared" si="12"/>
        <v>12 a 15 dias</v>
      </c>
      <c r="T399" s="8" t="s">
        <v>27</v>
      </c>
      <c r="U399" s="17">
        <v>45017</v>
      </c>
      <c r="V399" t="s">
        <v>202</v>
      </c>
    </row>
    <row r="400" spans="1:22" x14ac:dyDescent="0.3">
      <c r="A400" t="str">
        <f t="shared" si="11"/>
        <v>DCF 90</v>
      </c>
      <c r="B400" s="1" t="s">
        <v>404</v>
      </c>
      <c r="C400" s="6">
        <v>1443</v>
      </c>
      <c r="Q400" s="26">
        <v>0.05</v>
      </c>
      <c r="S400" s="1" t="str">
        <f t="shared" si="12"/>
        <v>12 a 15 dias</v>
      </c>
      <c r="T400" s="8" t="s">
        <v>27</v>
      </c>
      <c r="U400" s="17">
        <v>45098</v>
      </c>
      <c r="V400" t="s">
        <v>202</v>
      </c>
    </row>
    <row r="401" spans="1:22" x14ac:dyDescent="0.3">
      <c r="A401" t="str">
        <f t="shared" si="11"/>
        <v>DCF 90</v>
      </c>
      <c r="B401" s="1" t="s">
        <v>405</v>
      </c>
      <c r="Q401" s="26">
        <v>0.05</v>
      </c>
      <c r="S401" s="1" t="str">
        <f t="shared" si="12"/>
        <v>12 a 15 dias</v>
      </c>
      <c r="T401" s="8" t="s">
        <v>27</v>
      </c>
      <c r="V401" t="s">
        <v>202</v>
      </c>
    </row>
    <row r="402" spans="1:22" x14ac:dyDescent="0.3">
      <c r="A402" t="str">
        <f t="shared" si="11"/>
        <v>DCF 90</v>
      </c>
      <c r="B402" s="1" t="s">
        <v>406</v>
      </c>
      <c r="C402" s="6">
        <v>1570</v>
      </c>
      <c r="D402" s="6">
        <v>3709</v>
      </c>
      <c r="Q402" s="26">
        <v>0.05</v>
      </c>
      <c r="S402" s="1" t="str">
        <f t="shared" si="12"/>
        <v>12 a 15 dias</v>
      </c>
      <c r="T402" s="8" t="s">
        <v>27</v>
      </c>
      <c r="U402" s="17">
        <v>45017</v>
      </c>
      <c r="V402" t="s">
        <v>202</v>
      </c>
    </row>
    <row r="403" spans="1:22" x14ac:dyDescent="0.3">
      <c r="A403" t="str">
        <f t="shared" si="11"/>
        <v>DCF 90</v>
      </c>
      <c r="B403" s="1" t="s">
        <v>407</v>
      </c>
      <c r="Q403" s="26">
        <v>0.05</v>
      </c>
      <c r="S403" s="1" t="str">
        <f t="shared" si="12"/>
        <v>12 a 15 dias</v>
      </c>
      <c r="T403" s="8" t="s">
        <v>27</v>
      </c>
      <c r="V403" t="s">
        <v>202</v>
      </c>
    </row>
    <row r="404" spans="1:22" x14ac:dyDescent="0.3">
      <c r="A404" t="str">
        <f t="shared" si="11"/>
        <v>DCF 90</v>
      </c>
      <c r="B404" s="1" t="s">
        <v>407</v>
      </c>
      <c r="Q404" s="26">
        <v>0.05</v>
      </c>
      <c r="S404" s="1" t="str">
        <f t="shared" si="12"/>
        <v>12 a 15 dias</v>
      </c>
      <c r="T404" s="8" t="s">
        <v>27</v>
      </c>
      <c r="V404" t="s">
        <v>202</v>
      </c>
    </row>
    <row r="405" spans="1:22" x14ac:dyDescent="0.3">
      <c r="A405" t="str">
        <f t="shared" si="11"/>
        <v>DCF 90</v>
      </c>
      <c r="B405" s="1" t="s">
        <v>408</v>
      </c>
      <c r="Q405" s="26">
        <v>0.05</v>
      </c>
      <c r="S405" s="1" t="str">
        <f t="shared" si="12"/>
        <v>12 a 15 dias</v>
      </c>
      <c r="T405" s="8" t="s">
        <v>27</v>
      </c>
      <c r="V405" t="s">
        <v>202</v>
      </c>
    </row>
    <row r="406" spans="1:22" x14ac:dyDescent="0.3">
      <c r="A406" t="str">
        <f t="shared" si="11"/>
        <v>DCF 90</v>
      </c>
      <c r="B406" s="1" t="s">
        <v>409</v>
      </c>
      <c r="Q406" s="26">
        <v>0.05</v>
      </c>
      <c r="S406" s="1" t="str">
        <f t="shared" si="12"/>
        <v>12 a 15 dias</v>
      </c>
      <c r="T406" s="8" t="s">
        <v>27</v>
      </c>
      <c r="V406" t="s">
        <v>202</v>
      </c>
    </row>
    <row r="407" spans="1:22" x14ac:dyDescent="0.3">
      <c r="A407" t="str">
        <f t="shared" si="11"/>
        <v>DCF 90</v>
      </c>
      <c r="B407" s="1" t="s">
        <v>410</v>
      </c>
      <c r="Q407" s="26">
        <v>0.05</v>
      </c>
      <c r="S407" s="1" t="str">
        <f t="shared" si="12"/>
        <v>12 a 15 dias</v>
      </c>
      <c r="T407" s="8" t="s">
        <v>27</v>
      </c>
      <c r="V407" t="s">
        <v>202</v>
      </c>
    </row>
    <row r="408" spans="1:22" x14ac:dyDescent="0.3">
      <c r="A408" t="str">
        <f t="shared" si="11"/>
        <v>DCF 90</v>
      </c>
      <c r="B408" s="1" t="s">
        <v>411</v>
      </c>
      <c r="Q408" s="26">
        <v>0.05</v>
      </c>
      <c r="S408" s="1" t="str">
        <f t="shared" si="12"/>
        <v>12 a 15 dias</v>
      </c>
      <c r="T408" s="8" t="s">
        <v>27</v>
      </c>
      <c r="V408" t="s">
        <v>202</v>
      </c>
    </row>
    <row r="409" spans="1:22" x14ac:dyDescent="0.3">
      <c r="A409" t="str">
        <f t="shared" si="11"/>
        <v>DCF 90</v>
      </c>
      <c r="B409" s="1" t="s">
        <v>412</v>
      </c>
      <c r="Q409" s="26">
        <v>0.05</v>
      </c>
      <c r="S409" s="1" t="str">
        <f t="shared" si="12"/>
        <v>12 a 15 dias</v>
      </c>
      <c r="T409" s="8" t="s">
        <v>27</v>
      </c>
      <c r="V409" t="s">
        <v>202</v>
      </c>
    </row>
    <row r="410" spans="1:22" x14ac:dyDescent="0.3">
      <c r="A410" t="str">
        <f t="shared" si="11"/>
        <v>DCF 90</v>
      </c>
      <c r="B410" s="1" t="s">
        <v>413</v>
      </c>
      <c r="Q410" s="26">
        <v>0.05</v>
      </c>
      <c r="S410" s="1" t="str">
        <f t="shared" si="12"/>
        <v>12 a 15 dias</v>
      </c>
      <c r="T410" s="8" t="s">
        <v>27</v>
      </c>
      <c r="V410" t="s">
        <v>202</v>
      </c>
    </row>
    <row r="411" spans="1:22" x14ac:dyDescent="0.3">
      <c r="A411" t="str">
        <f t="shared" si="11"/>
        <v>DCF 90</v>
      </c>
      <c r="B411" s="1" t="s">
        <v>414</v>
      </c>
      <c r="Q411" s="26">
        <v>0.05</v>
      </c>
      <c r="S411" s="1" t="str">
        <f t="shared" si="12"/>
        <v>12 a 15 dias</v>
      </c>
      <c r="T411" s="8" t="s">
        <v>27</v>
      </c>
      <c r="V411" t="s">
        <v>202</v>
      </c>
    </row>
    <row r="412" spans="1:22" x14ac:dyDescent="0.3">
      <c r="A412" t="str">
        <f t="shared" si="11"/>
        <v>DCF 90</v>
      </c>
      <c r="B412" s="1" t="s">
        <v>415</v>
      </c>
      <c r="Q412" s="26">
        <v>0.05</v>
      </c>
      <c r="S412" s="1" t="str">
        <f t="shared" si="12"/>
        <v>12 a 15 dias</v>
      </c>
      <c r="T412" s="8" t="s">
        <v>27</v>
      </c>
      <c r="V412" t="s">
        <v>202</v>
      </c>
    </row>
    <row r="413" spans="1:22" x14ac:dyDescent="0.3">
      <c r="A413" t="str">
        <f t="shared" si="11"/>
        <v>DCF 90</v>
      </c>
      <c r="B413" s="1" t="s">
        <v>416</v>
      </c>
      <c r="Q413" s="26">
        <v>0.05</v>
      </c>
      <c r="S413" s="1" t="str">
        <f t="shared" si="12"/>
        <v>12 a 15 dias</v>
      </c>
      <c r="T413" s="8" t="s">
        <v>27</v>
      </c>
      <c r="V413" t="s">
        <v>202</v>
      </c>
    </row>
    <row r="414" spans="1:22" x14ac:dyDescent="0.3">
      <c r="A414" t="str">
        <f t="shared" si="11"/>
        <v>DCF 90</v>
      </c>
      <c r="B414" s="1" t="s">
        <v>417</v>
      </c>
      <c r="Q414" s="26">
        <v>0.05</v>
      </c>
      <c r="S414" s="1" t="str">
        <f t="shared" si="12"/>
        <v>12 a 15 dias</v>
      </c>
      <c r="T414" s="8" t="s">
        <v>27</v>
      </c>
      <c r="V414" t="s">
        <v>202</v>
      </c>
    </row>
    <row r="415" spans="1:22" x14ac:dyDescent="0.3">
      <c r="A415" t="str">
        <f t="shared" si="11"/>
        <v>DCF 90</v>
      </c>
      <c r="B415" s="1" t="s">
        <v>418</v>
      </c>
      <c r="Q415" s="26">
        <v>0.05</v>
      </c>
      <c r="S415" s="1" t="str">
        <f t="shared" si="12"/>
        <v>12 a 15 dias</v>
      </c>
      <c r="T415" s="8" t="s">
        <v>27</v>
      </c>
      <c r="V415" t="s">
        <v>202</v>
      </c>
    </row>
    <row r="416" spans="1:22" x14ac:dyDescent="0.3">
      <c r="A416" t="str">
        <f t="shared" si="11"/>
        <v>DCF 90</v>
      </c>
      <c r="B416" s="1" t="s">
        <v>419</v>
      </c>
      <c r="Q416" s="26">
        <v>0.05</v>
      </c>
      <c r="S416" s="1" t="str">
        <f t="shared" si="12"/>
        <v>12 a 15 dias</v>
      </c>
      <c r="T416" s="8" t="s">
        <v>27</v>
      </c>
      <c r="V416" t="s">
        <v>202</v>
      </c>
    </row>
    <row r="417" spans="1:22" x14ac:dyDescent="0.3">
      <c r="A417" t="str">
        <f t="shared" si="11"/>
        <v>DCF 90</v>
      </c>
      <c r="B417" s="1" t="s">
        <v>420</v>
      </c>
      <c r="Q417" s="26">
        <v>0.05</v>
      </c>
      <c r="S417" s="1" t="str">
        <f t="shared" si="12"/>
        <v>12 a 15 dias</v>
      </c>
      <c r="T417" s="8" t="s">
        <v>27</v>
      </c>
      <c r="V417" t="s">
        <v>202</v>
      </c>
    </row>
    <row r="418" spans="1:22" x14ac:dyDescent="0.3">
      <c r="A418" t="str">
        <f t="shared" si="11"/>
        <v>DCF 90</v>
      </c>
      <c r="B418" s="1" t="s">
        <v>421</v>
      </c>
      <c r="Q418" s="26">
        <v>0.05</v>
      </c>
      <c r="S418" s="1" t="str">
        <f t="shared" si="12"/>
        <v>12 a 15 dias</v>
      </c>
      <c r="T418" s="8" t="s">
        <v>27</v>
      </c>
      <c r="V418" t="s">
        <v>202</v>
      </c>
    </row>
    <row r="419" spans="1:22" x14ac:dyDescent="0.3">
      <c r="A419" t="str">
        <f t="shared" si="11"/>
        <v>DCF 90</v>
      </c>
      <c r="B419" s="1" t="s">
        <v>422</v>
      </c>
      <c r="Q419" s="26">
        <v>0.05</v>
      </c>
      <c r="S419" s="1" t="str">
        <f t="shared" si="12"/>
        <v>12 a 15 dias</v>
      </c>
      <c r="T419" s="8" t="s">
        <v>27</v>
      </c>
      <c r="V419" t="s">
        <v>202</v>
      </c>
    </row>
    <row r="420" spans="1:22" x14ac:dyDescent="0.3">
      <c r="A420" t="str">
        <f t="shared" si="11"/>
        <v>DCF 90</v>
      </c>
      <c r="B420" s="1" t="s">
        <v>423</v>
      </c>
      <c r="Q420" s="26">
        <v>0.05</v>
      </c>
      <c r="S420" s="1" t="str">
        <f t="shared" si="12"/>
        <v>12 a 15 dias</v>
      </c>
      <c r="T420" s="8" t="s">
        <v>27</v>
      </c>
      <c r="V420" t="s">
        <v>202</v>
      </c>
    </row>
    <row r="421" spans="1:22" x14ac:dyDescent="0.3">
      <c r="A421" t="str">
        <f t="shared" si="11"/>
        <v>DCF 90</v>
      </c>
      <c r="B421" s="1" t="s">
        <v>424</v>
      </c>
      <c r="Q421" s="26">
        <v>0.05</v>
      </c>
      <c r="S421" s="1" t="str">
        <f t="shared" si="12"/>
        <v>12 a 15 dias</v>
      </c>
      <c r="T421" s="8" t="s">
        <v>27</v>
      </c>
      <c r="V421" t="s">
        <v>202</v>
      </c>
    </row>
    <row r="422" spans="1:22" x14ac:dyDescent="0.3">
      <c r="A422" t="str">
        <f t="shared" si="11"/>
        <v>DCF 90</v>
      </c>
      <c r="B422" s="1" t="s">
        <v>425</v>
      </c>
      <c r="Q422" s="26">
        <v>0.05</v>
      </c>
      <c r="S422" s="1" t="str">
        <f t="shared" si="12"/>
        <v>12 a 15 dias</v>
      </c>
      <c r="T422" s="8" t="s">
        <v>27</v>
      </c>
      <c r="V422" t="s">
        <v>202</v>
      </c>
    </row>
    <row r="423" spans="1:22" x14ac:dyDescent="0.3">
      <c r="A423" t="str">
        <f t="shared" si="11"/>
        <v>DCF 90</v>
      </c>
      <c r="B423" s="1" t="s">
        <v>426</v>
      </c>
      <c r="Q423" s="26">
        <v>0.05</v>
      </c>
      <c r="S423" s="1" t="str">
        <f t="shared" si="12"/>
        <v>12 a 15 dias</v>
      </c>
      <c r="T423" s="8" t="s">
        <v>27</v>
      </c>
      <c r="V423" t="s">
        <v>202</v>
      </c>
    </row>
    <row r="424" spans="1:22" x14ac:dyDescent="0.3">
      <c r="A424" t="str">
        <f t="shared" si="11"/>
        <v>DCF 90</v>
      </c>
      <c r="B424" s="1" t="s">
        <v>427</v>
      </c>
      <c r="Q424" s="26">
        <v>0.05</v>
      </c>
      <c r="S424" s="1" t="str">
        <f t="shared" si="12"/>
        <v>12 a 15 dias</v>
      </c>
      <c r="T424" s="8" t="s">
        <v>27</v>
      </c>
      <c r="V424" t="s">
        <v>202</v>
      </c>
    </row>
    <row r="425" spans="1:22" x14ac:dyDescent="0.3">
      <c r="A425" t="str">
        <f t="shared" si="11"/>
        <v>DCF 90</v>
      </c>
      <c r="B425" s="1" t="s">
        <v>428</v>
      </c>
      <c r="Q425" s="26">
        <v>0.05</v>
      </c>
      <c r="S425" s="1" t="str">
        <f t="shared" si="12"/>
        <v>12 a 15 dias</v>
      </c>
      <c r="T425" s="8" t="s">
        <v>27</v>
      </c>
      <c r="V425" t="s">
        <v>202</v>
      </c>
    </row>
    <row r="426" spans="1:22" x14ac:dyDescent="0.3">
      <c r="A426" t="str">
        <f t="shared" si="11"/>
        <v>DCF 90</v>
      </c>
      <c r="B426" s="1" t="s">
        <v>429</v>
      </c>
      <c r="Q426" s="26">
        <v>0.05</v>
      </c>
      <c r="S426" s="1" t="str">
        <f t="shared" si="12"/>
        <v>12 a 15 dias</v>
      </c>
      <c r="T426" s="8" t="s">
        <v>27</v>
      </c>
      <c r="V426" t="s">
        <v>202</v>
      </c>
    </row>
    <row r="427" spans="1:22" x14ac:dyDescent="0.3">
      <c r="A427" t="str">
        <f t="shared" si="11"/>
        <v>DCF 90</v>
      </c>
      <c r="B427" s="1" t="s">
        <v>430</v>
      </c>
      <c r="Q427" s="26">
        <v>0.05</v>
      </c>
      <c r="S427" s="1" t="str">
        <f t="shared" si="12"/>
        <v>12 a 15 dias</v>
      </c>
      <c r="T427" s="8" t="s">
        <v>27</v>
      </c>
      <c r="V427" t="s">
        <v>202</v>
      </c>
    </row>
    <row r="428" spans="1:22" x14ac:dyDescent="0.3">
      <c r="A428" t="str">
        <f t="shared" si="11"/>
        <v>DCF 90</v>
      </c>
      <c r="B428" s="1" t="s">
        <v>431</v>
      </c>
      <c r="Q428" s="26">
        <v>0.05</v>
      </c>
      <c r="S428" s="1" t="str">
        <f t="shared" si="12"/>
        <v>12 a 15 dias</v>
      </c>
      <c r="T428" s="8" t="s">
        <v>27</v>
      </c>
      <c r="V428" t="s">
        <v>202</v>
      </c>
    </row>
    <row r="429" spans="1:22" x14ac:dyDescent="0.3">
      <c r="A429" t="str">
        <f t="shared" si="11"/>
        <v>DCF 90</v>
      </c>
      <c r="B429" s="1" t="s">
        <v>432</v>
      </c>
      <c r="Q429" s="26">
        <v>0.05</v>
      </c>
      <c r="S429" s="1" t="str">
        <f t="shared" si="12"/>
        <v>12 a 15 dias</v>
      </c>
      <c r="T429" s="8" t="s">
        <v>27</v>
      </c>
      <c r="V429" t="s">
        <v>202</v>
      </c>
    </row>
    <row r="430" spans="1:22" x14ac:dyDescent="0.3">
      <c r="A430" t="str">
        <f t="shared" si="11"/>
        <v>DCF 90</v>
      </c>
      <c r="B430" s="1" t="s">
        <v>433</v>
      </c>
      <c r="Q430" s="26">
        <v>0.05</v>
      </c>
      <c r="S430" s="1" t="str">
        <f t="shared" si="12"/>
        <v>12 a 15 dias</v>
      </c>
      <c r="T430" s="8" t="s">
        <v>27</v>
      </c>
      <c r="V430" t="s">
        <v>202</v>
      </c>
    </row>
    <row r="431" spans="1:22" x14ac:dyDescent="0.3">
      <c r="A431" t="str">
        <f t="shared" ref="A431:A444" si="13">"DCF 90"</f>
        <v>DCF 90</v>
      </c>
      <c r="B431" s="1" t="s">
        <v>434</v>
      </c>
      <c r="Q431" s="26">
        <v>0.05</v>
      </c>
      <c r="S431" s="1" t="str">
        <f t="shared" si="12"/>
        <v>12 a 15 dias</v>
      </c>
      <c r="T431" s="8" t="s">
        <v>27</v>
      </c>
      <c r="V431" t="s">
        <v>202</v>
      </c>
    </row>
    <row r="432" spans="1:22" x14ac:dyDescent="0.3">
      <c r="A432" t="str">
        <f t="shared" si="13"/>
        <v>DCF 90</v>
      </c>
      <c r="B432" s="1" t="s">
        <v>435</v>
      </c>
      <c r="Q432" s="26">
        <v>0.05</v>
      </c>
      <c r="S432" s="1" t="str">
        <f t="shared" si="12"/>
        <v>12 a 15 dias</v>
      </c>
      <c r="T432" s="8" t="s">
        <v>27</v>
      </c>
      <c r="V432" t="s">
        <v>202</v>
      </c>
    </row>
    <row r="433" spans="1:22" x14ac:dyDescent="0.3">
      <c r="A433" t="str">
        <f t="shared" si="13"/>
        <v>DCF 90</v>
      </c>
      <c r="B433" s="1" t="s">
        <v>436</v>
      </c>
      <c r="Q433" s="26">
        <v>0.05</v>
      </c>
      <c r="S433" s="1" t="str">
        <f t="shared" si="12"/>
        <v>12 a 15 dias</v>
      </c>
      <c r="T433" s="8" t="s">
        <v>27</v>
      </c>
      <c r="V433" t="s">
        <v>202</v>
      </c>
    </row>
    <row r="434" spans="1:22" x14ac:dyDescent="0.3">
      <c r="A434" t="str">
        <f t="shared" si="13"/>
        <v>DCF 90</v>
      </c>
      <c r="B434" s="1" t="s">
        <v>437</v>
      </c>
      <c r="Q434" s="26">
        <v>0.05</v>
      </c>
      <c r="S434" s="1" t="str">
        <f t="shared" si="12"/>
        <v>12 a 15 dias</v>
      </c>
      <c r="T434" s="8" t="s">
        <v>27</v>
      </c>
      <c r="V434" t="s">
        <v>202</v>
      </c>
    </row>
    <row r="435" spans="1:22" x14ac:dyDescent="0.3">
      <c r="A435" t="str">
        <f t="shared" si="13"/>
        <v>DCF 90</v>
      </c>
      <c r="B435" s="1" t="s">
        <v>438</v>
      </c>
      <c r="Q435" s="26">
        <v>0.05</v>
      </c>
      <c r="S435" s="1" t="str">
        <f t="shared" si="12"/>
        <v>12 a 15 dias</v>
      </c>
      <c r="T435" s="8" t="s">
        <v>27</v>
      </c>
      <c r="V435" t="s">
        <v>202</v>
      </c>
    </row>
    <row r="436" spans="1:22" x14ac:dyDescent="0.3">
      <c r="A436" t="str">
        <f t="shared" si="13"/>
        <v>DCF 90</v>
      </c>
      <c r="B436" s="1" t="s">
        <v>439</v>
      </c>
      <c r="Q436" s="26">
        <v>0.05</v>
      </c>
      <c r="S436" s="1" t="str">
        <f t="shared" si="12"/>
        <v>12 a 15 dias</v>
      </c>
      <c r="T436" s="8" t="s">
        <v>27</v>
      </c>
      <c r="V436" t="s">
        <v>202</v>
      </c>
    </row>
    <row r="437" spans="1:22" x14ac:dyDescent="0.3">
      <c r="A437" t="str">
        <f t="shared" si="13"/>
        <v>DCF 90</v>
      </c>
      <c r="B437" s="1" t="s">
        <v>440</v>
      </c>
      <c r="Q437" s="26">
        <v>0.05</v>
      </c>
      <c r="S437" s="1" t="str">
        <f t="shared" si="12"/>
        <v>12 a 15 dias</v>
      </c>
      <c r="T437" s="8" t="s">
        <v>27</v>
      </c>
      <c r="V437" t="s">
        <v>202</v>
      </c>
    </row>
    <row r="438" spans="1:22" x14ac:dyDescent="0.3">
      <c r="A438" t="str">
        <f t="shared" si="13"/>
        <v>DCF 90</v>
      </c>
      <c r="B438" s="1" t="s">
        <v>441</v>
      </c>
      <c r="Q438" s="26">
        <v>0.05</v>
      </c>
      <c r="S438" s="1" t="str">
        <f t="shared" si="12"/>
        <v>12 a 15 dias</v>
      </c>
      <c r="T438" s="8" t="s">
        <v>27</v>
      </c>
      <c r="V438" t="s">
        <v>202</v>
      </c>
    </row>
    <row r="439" spans="1:22" x14ac:dyDescent="0.3">
      <c r="A439" t="str">
        <f t="shared" si="13"/>
        <v>DCF 90</v>
      </c>
      <c r="B439" s="1" t="s">
        <v>442</v>
      </c>
      <c r="Q439" s="26">
        <v>0.05</v>
      </c>
      <c r="S439" s="1" t="str">
        <f t="shared" si="12"/>
        <v>12 a 15 dias</v>
      </c>
      <c r="T439" s="8" t="s">
        <v>27</v>
      </c>
      <c r="V439" t="s">
        <v>202</v>
      </c>
    </row>
    <row r="440" spans="1:22" x14ac:dyDescent="0.3">
      <c r="A440" t="str">
        <f t="shared" si="13"/>
        <v>DCF 90</v>
      </c>
      <c r="B440" s="1" t="s">
        <v>443</v>
      </c>
      <c r="Q440" s="26">
        <v>0.05</v>
      </c>
      <c r="S440" s="1" t="str">
        <f t="shared" si="12"/>
        <v>12 a 15 dias</v>
      </c>
      <c r="T440" s="8" t="s">
        <v>27</v>
      </c>
      <c r="V440" t="s">
        <v>202</v>
      </c>
    </row>
    <row r="441" spans="1:22" x14ac:dyDescent="0.3">
      <c r="A441" t="str">
        <f t="shared" si="13"/>
        <v>DCF 90</v>
      </c>
      <c r="B441" s="1" t="s">
        <v>444</v>
      </c>
      <c r="Q441" s="26">
        <v>0.05</v>
      </c>
      <c r="S441" s="1" t="str">
        <f t="shared" si="12"/>
        <v>12 a 15 dias</v>
      </c>
      <c r="T441" s="8" t="s">
        <v>27</v>
      </c>
      <c r="V441" t="s">
        <v>202</v>
      </c>
    </row>
    <row r="442" spans="1:22" x14ac:dyDescent="0.3">
      <c r="A442" t="str">
        <f t="shared" si="13"/>
        <v>DCF 90</v>
      </c>
      <c r="B442" s="1" t="s">
        <v>445</v>
      </c>
      <c r="Q442" s="26">
        <v>0.05</v>
      </c>
      <c r="S442" s="1" t="str">
        <f t="shared" si="12"/>
        <v>12 a 15 dias</v>
      </c>
      <c r="T442" s="8" t="s">
        <v>27</v>
      </c>
      <c r="V442" t="s">
        <v>202</v>
      </c>
    </row>
    <row r="443" spans="1:22" x14ac:dyDescent="0.3">
      <c r="A443" t="str">
        <f t="shared" si="13"/>
        <v>DCF 90</v>
      </c>
      <c r="B443" s="1" t="s">
        <v>446</v>
      </c>
      <c r="Q443" s="26">
        <v>0.05</v>
      </c>
      <c r="S443" s="1" t="str">
        <f t="shared" si="12"/>
        <v>12 a 15 dias</v>
      </c>
      <c r="T443" s="8" t="s">
        <v>27</v>
      </c>
      <c r="V443" t="s">
        <v>202</v>
      </c>
    </row>
    <row r="444" spans="1:22" x14ac:dyDescent="0.3">
      <c r="A444" t="str">
        <f t="shared" si="13"/>
        <v>DCF 90</v>
      </c>
      <c r="B444" s="1" t="s">
        <v>447</v>
      </c>
      <c r="Q444" s="26">
        <v>0.05</v>
      </c>
      <c r="S444" s="1" t="str">
        <f t="shared" si="12"/>
        <v>12 a 15 dias</v>
      </c>
      <c r="T444" s="8" t="s">
        <v>27</v>
      </c>
      <c r="V444" t="s">
        <v>202</v>
      </c>
    </row>
    <row r="450" spans="1:22" x14ac:dyDescent="0.3">
      <c r="A450" t="s">
        <v>448</v>
      </c>
      <c r="B450" s="19" t="s">
        <v>449</v>
      </c>
      <c r="C450" s="20" t="s">
        <v>450</v>
      </c>
    </row>
    <row r="451" spans="1:22" x14ac:dyDescent="0.3">
      <c r="A451" t="s">
        <v>448</v>
      </c>
      <c r="B451" s="19" t="s">
        <v>451</v>
      </c>
      <c r="C451" s="20">
        <v>2.5</v>
      </c>
      <c r="U451" s="21">
        <v>45147</v>
      </c>
      <c r="V451" s="22" t="s">
        <v>452</v>
      </c>
    </row>
    <row r="452" spans="1:22" x14ac:dyDescent="0.3">
      <c r="A452" t="s">
        <v>448</v>
      </c>
      <c r="B452" s="19" t="s">
        <v>453</v>
      </c>
      <c r="C452" s="20">
        <v>2.9</v>
      </c>
      <c r="U452" s="21">
        <v>45147</v>
      </c>
      <c r="V452" s="22" t="s">
        <v>452</v>
      </c>
    </row>
    <row r="453" spans="1:22" x14ac:dyDescent="0.3">
      <c r="A453" t="s">
        <v>448</v>
      </c>
      <c r="B453" s="19" t="s">
        <v>454</v>
      </c>
      <c r="C453" s="20">
        <v>4.5</v>
      </c>
      <c r="U453" s="21">
        <v>45147</v>
      </c>
      <c r="V453" s="22" t="s">
        <v>452</v>
      </c>
    </row>
    <row r="454" spans="1:22" x14ac:dyDescent="0.3">
      <c r="A454" t="s">
        <v>448</v>
      </c>
      <c r="B454" s="19" t="s">
        <v>455</v>
      </c>
      <c r="C454" s="20">
        <v>6.5</v>
      </c>
      <c r="U454" s="21">
        <v>45147</v>
      </c>
      <c r="V454" s="22" t="s">
        <v>452</v>
      </c>
    </row>
    <row r="455" spans="1:22" x14ac:dyDescent="0.3">
      <c r="A455" t="s">
        <v>448</v>
      </c>
      <c r="B455" s="19" t="s">
        <v>456</v>
      </c>
      <c r="C455" s="20">
        <v>9.8000000000000007</v>
      </c>
      <c r="U455" s="21">
        <v>45147</v>
      </c>
      <c r="V455" s="22" t="s">
        <v>452</v>
      </c>
    </row>
    <row r="456" spans="1:22" x14ac:dyDescent="0.3">
      <c r="A456" t="s">
        <v>448</v>
      </c>
      <c r="B456" s="19" t="s">
        <v>457</v>
      </c>
      <c r="C456" s="20">
        <v>4.5</v>
      </c>
      <c r="U456" s="21">
        <v>45147</v>
      </c>
      <c r="V456" s="22" t="s">
        <v>452</v>
      </c>
    </row>
    <row r="457" spans="1:22" x14ac:dyDescent="0.3">
      <c r="A457" t="s">
        <v>448</v>
      </c>
      <c r="B457" s="19" t="s">
        <v>458</v>
      </c>
      <c r="C457" s="20">
        <v>9.8000000000000007</v>
      </c>
      <c r="U457" s="21">
        <v>45147</v>
      </c>
      <c r="V457" s="22" t="s">
        <v>452</v>
      </c>
    </row>
    <row r="458" spans="1:22" x14ac:dyDescent="0.3">
      <c r="A458" t="s">
        <v>448</v>
      </c>
      <c r="B458" s="19" t="s">
        <v>459</v>
      </c>
      <c r="C458" s="20">
        <v>17.5</v>
      </c>
      <c r="U458" s="21">
        <v>45147</v>
      </c>
      <c r="V458" s="22" t="s">
        <v>452</v>
      </c>
    </row>
    <row r="459" spans="1:22" x14ac:dyDescent="0.3">
      <c r="A459" t="s">
        <v>448</v>
      </c>
      <c r="B459" s="19" t="s">
        <v>460</v>
      </c>
      <c r="C459" s="20">
        <v>6.5</v>
      </c>
      <c r="U459" s="21">
        <v>45147</v>
      </c>
      <c r="V459" s="22" t="s">
        <v>452</v>
      </c>
    </row>
    <row r="460" spans="1:22" x14ac:dyDescent="0.3">
      <c r="A460" t="s">
        <v>448</v>
      </c>
      <c r="B460" s="19" t="s">
        <v>461</v>
      </c>
      <c r="C460" s="20">
        <v>9.8000000000000007</v>
      </c>
      <c r="U460" s="21">
        <v>45147</v>
      </c>
      <c r="V460" s="22" t="s">
        <v>452</v>
      </c>
    </row>
    <row r="461" spans="1:22" x14ac:dyDescent="0.3">
      <c r="A461" t="s">
        <v>448</v>
      </c>
      <c r="B461" s="19" t="s">
        <v>462</v>
      </c>
      <c r="C461" s="20">
        <v>18.2</v>
      </c>
      <c r="U461" s="21">
        <v>45147</v>
      </c>
      <c r="V461" s="22" t="s">
        <v>452</v>
      </c>
    </row>
    <row r="462" spans="1:22" x14ac:dyDescent="0.3">
      <c r="A462" t="s">
        <v>448</v>
      </c>
      <c r="B462" s="19" t="s">
        <v>463</v>
      </c>
      <c r="C462" s="20">
        <v>17.5</v>
      </c>
      <c r="U462" s="21">
        <v>45147</v>
      </c>
      <c r="V462" s="22" t="s">
        <v>452</v>
      </c>
    </row>
    <row r="463" spans="1:22" x14ac:dyDescent="0.3">
      <c r="A463" t="s">
        <v>448</v>
      </c>
      <c r="B463" s="19" t="s">
        <v>464</v>
      </c>
      <c r="C463" s="20">
        <v>26.4</v>
      </c>
      <c r="U463" s="21">
        <v>45147</v>
      </c>
      <c r="V463" s="22" t="s">
        <v>452</v>
      </c>
    </row>
    <row r="464" spans="1:22" x14ac:dyDescent="0.3">
      <c r="A464" t="s">
        <v>448</v>
      </c>
      <c r="B464" s="19" t="s">
        <v>465</v>
      </c>
      <c r="C464" s="20">
        <v>37.799999999999997</v>
      </c>
      <c r="U464" s="21">
        <v>45147</v>
      </c>
      <c r="V464" s="22" t="s">
        <v>452</v>
      </c>
    </row>
    <row r="465" spans="1:22" x14ac:dyDescent="0.3">
      <c r="A465" t="s">
        <v>448</v>
      </c>
      <c r="B465" s="19" t="s">
        <v>466</v>
      </c>
      <c r="C465" s="20">
        <v>27.5</v>
      </c>
      <c r="U465" s="21">
        <v>45147</v>
      </c>
      <c r="V465" s="22" t="s">
        <v>452</v>
      </c>
    </row>
    <row r="466" spans="1:22" x14ac:dyDescent="0.3">
      <c r="A466" t="s">
        <v>448</v>
      </c>
      <c r="B466" s="19" t="s">
        <v>467</v>
      </c>
      <c r="C466" s="20">
        <v>41</v>
      </c>
      <c r="U466" s="21">
        <v>45112</v>
      </c>
      <c r="V466" s="22" t="s">
        <v>468</v>
      </c>
    </row>
    <row r="467" spans="1:22" x14ac:dyDescent="0.3">
      <c r="A467" t="s">
        <v>448</v>
      </c>
      <c r="B467" s="19" t="s">
        <v>469</v>
      </c>
      <c r="C467" s="20">
        <v>19.3</v>
      </c>
      <c r="U467" s="21">
        <v>45147</v>
      </c>
      <c r="V467" s="22" t="s">
        <v>452</v>
      </c>
    </row>
    <row r="468" spans="1:22" x14ac:dyDescent="0.3">
      <c r="A468" t="s">
        <v>448</v>
      </c>
      <c r="B468" s="19" t="s">
        <v>470</v>
      </c>
      <c r="C468" s="20">
        <v>36.5</v>
      </c>
      <c r="U468" s="21">
        <v>45147</v>
      </c>
      <c r="V468" s="22" t="s">
        <v>452</v>
      </c>
    </row>
    <row r="469" spans="1:22" x14ac:dyDescent="0.3">
      <c r="A469" t="s">
        <v>448</v>
      </c>
      <c r="B469" s="19" t="s">
        <v>471</v>
      </c>
      <c r="C469" s="20">
        <v>48</v>
      </c>
      <c r="U469" s="21">
        <v>45112</v>
      </c>
      <c r="V469" s="22" t="s">
        <v>468</v>
      </c>
    </row>
    <row r="470" spans="1:22" x14ac:dyDescent="0.3">
      <c r="A470" t="s">
        <v>448</v>
      </c>
      <c r="B470" s="19" t="s">
        <v>472</v>
      </c>
      <c r="C470" s="20">
        <v>59</v>
      </c>
      <c r="U470" s="21">
        <v>45112</v>
      </c>
      <c r="V470" s="22" t="s">
        <v>468</v>
      </c>
    </row>
    <row r="471" spans="1:22" x14ac:dyDescent="0.3">
      <c r="A471" t="s">
        <v>448</v>
      </c>
      <c r="B471" s="19" t="s">
        <v>473</v>
      </c>
      <c r="C471" s="20">
        <v>45</v>
      </c>
      <c r="U471" s="21">
        <v>45112</v>
      </c>
      <c r="V471" s="22" t="s">
        <v>468</v>
      </c>
    </row>
    <row r="472" spans="1:22" x14ac:dyDescent="0.3">
      <c r="A472" t="s">
        <v>448</v>
      </c>
      <c r="B472" s="19" t="s">
        <v>474</v>
      </c>
      <c r="C472" s="20">
        <v>36.5</v>
      </c>
      <c r="U472" s="21">
        <v>45147</v>
      </c>
      <c r="V472" s="22" t="s">
        <v>452</v>
      </c>
    </row>
    <row r="474" spans="1:22" x14ac:dyDescent="0.3">
      <c r="A474" t="s">
        <v>475</v>
      </c>
      <c r="B474" s="19" t="s">
        <v>476</v>
      </c>
      <c r="C474" s="20">
        <v>3</v>
      </c>
      <c r="U474" s="21">
        <v>45112</v>
      </c>
      <c r="V474" s="22" t="s">
        <v>468</v>
      </c>
    </row>
    <row r="475" spans="1:22" x14ac:dyDescent="0.3">
      <c r="A475" t="s">
        <v>475</v>
      </c>
      <c r="B475" s="19" t="s">
        <v>477</v>
      </c>
      <c r="C475" s="20">
        <v>2.2999999999999998</v>
      </c>
      <c r="U475" s="21">
        <v>45149</v>
      </c>
      <c r="V475" s="22" t="s">
        <v>452</v>
      </c>
    </row>
    <row r="476" spans="1:22" x14ac:dyDescent="0.3">
      <c r="A476" t="s">
        <v>475</v>
      </c>
      <c r="B476" s="19" t="s">
        <v>478</v>
      </c>
      <c r="C476" s="20">
        <v>4</v>
      </c>
      <c r="U476" s="21">
        <v>45149</v>
      </c>
      <c r="V476" s="22" t="s">
        <v>452</v>
      </c>
    </row>
    <row r="477" spans="1:22" x14ac:dyDescent="0.3">
      <c r="A477" t="s">
        <v>475</v>
      </c>
      <c r="B477" s="19" t="s">
        <v>479</v>
      </c>
      <c r="C477" s="20">
        <v>6.4</v>
      </c>
      <c r="U477" s="21">
        <v>45149</v>
      </c>
      <c r="V477" s="22" t="s">
        <v>452</v>
      </c>
    </row>
    <row r="478" spans="1:22" x14ac:dyDescent="0.3">
      <c r="A478" t="s">
        <v>475</v>
      </c>
      <c r="B478" s="19" t="s">
        <v>480</v>
      </c>
      <c r="C478" s="20">
        <v>9.3000000000000007</v>
      </c>
      <c r="U478" s="21">
        <v>45149</v>
      </c>
      <c r="V478" s="22" t="s">
        <v>452</v>
      </c>
    </row>
    <row r="479" spans="1:22" x14ac:dyDescent="0.3">
      <c r="A479" t="s">
        <v>475</v>
      </c>
      <c r="B479" s="19" t="s">
        <v>481</v>
      </c>
      <c r="C479" s="20">
        <v>13.08</v>
      </c>
      <c r="U479" s="21">
        <v>45149</v>
      </c>
      <c r="V479" s="22" t="s">
        <v>452</v>
      </c>
    </row>
    <row r="480" spans="1:22" x14ac:dyDescent="0.3">
      <c r="A480" t="s">
        <v>475</v>
      </c>
      <c r="B480" s="19" t="s">
        <v>482</v>
      </c>
      <c r="C480" s="20">
        <v>17.3</v>
      </c>
      <c r="U480" s="21">
        <v>45149</v>
      </c>
      <c r="V480" s="22" t="s">
        <v>452</v>
      </c>
    </row>
    <row r="481" spans="1:22" x14ac:dyDescent="0.3">
      <c r="A481" t="s">
        <v>475</v>
      </c>
      <c r="B481" s="19" t="s">
        <v>483</v>
      </c>
      <c r="C481" s="20">
        <v>23</v>
      </c>
      <c r="U481" s="21">
        <v>45149</v>
      </c>
      <c r="V481" s="22" t="s">
        <v>452</v>
      </c>
    </row>
    <row r="482" spans="1:22" x14ac:dyDescent="0.3">
      <c r="A482" t="s">
        <v>475</v>
      </c>
      <c r="B482" s="19" t="s">
        <v>484</v>
      </c>
      <c r="C482" s="20">
        <v>33.5</v>
      </c>
      <c r="U482" s="21">
        <v>45149</v>
      </c>
      <c r="V482" s="22" t="s">
        <v>452</v>
      </c>
    </row>
    <row r="483" spans="1:22" x14ac:dyDescent="0.3">
      <c r="A483" t="s">
        <v>475</v>
      </c>
      <c r="B483" s="19" t="s">
        <v>485</v>
      </c>
      <c r="C483" s="20">
        <v>51.6</v>
      </c>
      <c r="U483" s="21">
        <v>45149</v>
      </c>
      <c r="V483" s="22" t="s">
        <v>452</v>
      </c>
    </row>
    <row r="484" spans="1:22" x14ac:dyDescent="0.3">
      <c r="A484" t="s">
        <v>475</v>
      </c>
      <c r="B484" s="19" t="s">
        <v>486</v>
      </c>
      <c r="C484" s="20">
        <v>2.5</v>
      </c>
      <c r="U484" s="21">
        <v>45149</v>
      </c>
      <c r="V484" s="22" t="s">
        <v>452</v>
      </c>
    </row>
    <row r="485" spans="1:22" x14ac:dyDescent="0.3">
      <c r="A485" t="s">
        <v>475</v>
      </c>
      <c r="B485" s="19" t="s">
        <v>487</v>
      </c>
      <c r="C485" s="20">
        <v>2.6</v>
      </c>
      <c r="U485" s="21">
        <v>45149</v>
      </c>
      <c r="V485" s="22" t="s">
        <v>452</v>
      </c>
    </row>
    <row r="486" spans="1:22" x14ac:dyDescent="0.3">
      <c r="A486" t="s">
        <v>475</v>
      </c>
      <c r="B486" s="19" t="s">
        <v>488</v>
      </c>
      <c r="C486" s="20">
        <v>4.5</v>
      </c>
      <c r="U486" s="21">
        <v>45149</v>
      </c>
      <c r="V486" s="22" t="s">
        <v>452</v>
      </c>
    </row>
    <row r="487" spans="1:22" x14ac:dyDescent="0.3">
      <c r="A487" t="s">
        <v>475</v>
      </c>
      <c r="B487" s="19" t="s">
        <v>489</v>
      </c>
      <c r="C487" s="20">
        <v>7.51</v>
      </c>
      <c r="U487" s="21">
        <v>45149</v>
      </c>
      <c r="V487" s="22" t="s">
        <v>452</v>
      </c>
    </row>
    <row r="488" spans="1:22" x14ac:dyDescent="0.3">
      <c r="A488" t="s">
        <v>475</v>
      </c>
      <c r="B488" s="19" t="s">
        <v>490</v>
      </c>
      <c r="C488" s="20">
        <v>11.1</v>
      </c>
      <c r="U488" s="21">
        <v>45149</v>
      </c>
      <c r="V488" s="22" t="s">
        <v>452</v>
      </c>
    </row>
    <row r="489" spans="1:22" x14ac:dyDescent="0.3">
      <c r="A489" t="s">
        <v>475</v>
      </c>
      <c r="B489" s="19" t="s">
        <v>491</v>
      </c>
      <c r="C489" s="20">
        <v>18.600000000000001</v>
      </c>
      <c r="U489" s="21">
        <v>45149</v>
      </c>
      <c r="V489" s="22" t="s">
        <v>452</v>
      </c>
    </row>
    <row r="490" spans="1:22" x14ac:dyDescent="0.3">
      <c r="A490" t="s">
        <v>475</v>
      </c>
      <c r="B490" s="19" t="s">
        <v>492</v>
      </c>
      <c r="C490" s="20">
        <v>15.3</v>
      </c>
      <c r="U490" s="21">
        <v>45149</v>
      </c>
      <c r="V490" s="22" t="s">
        <v>452</v>
      </c>
    </row>
    <row r="491" spans="1:22" x14ac:dyDescent="0.3">
      <c r="A491" t="s">
        <v>475</v>
      </c>
      <c r="B491" s="19" t="s">
        <v>493</v>
      </c>
      <c r="C491" s="20">
        <v>23.44</v>
      </c>
      <c r="U491" s="21">
        <v>45149</v>
      </c>
      <c r="V491" s="22" t="s">
        <v>452</v>
      </c>
    </row>
    <row r="492" spans="1:22" x14ac:dyDescent="0.3">
      <c r="A492" t="s">
        <v>475</v>
      </c>
      <c r="B492" s="19" t="s">
        <v>494</v>
      </c>
      <c r="C492" s="20">
        <v>20.399999999999999</v>
      </c>
      <c r="U492" s="21">
        <v>45149</v>
      </c>
      <c r="V492" s="22" t="s">
        <v>452</v>
      </c>
    </row>
    <row r="493" spans="1:22" x14ac:dyDescent="0.3">
      <c r="A493" t="s">
        <v>475</v>
      </c>
      <c r="B493" s="19" t="s">
        <v>495</v>
      </c>
      <c r="C493" s="20">
        <v>26.6</v>
      </c>
      <c r="U493" s="21">
        <v>45149</v>
      </c>
      <c r="V493" s="22" t="s">
        <v>452</v>
      </c>
    </row>
    <row r="494" spans="1:22" x14ac:dyDescent="0.3">
      <c r="A494" t="s">
        <v>475</v>
      </c>
      <c r="B494" s="19" t="s">
        <v>496</v>
      </c>
      <c r="C494" s="20">
        <v>37.15</v>
      </c>
      <c r="U494" s="21">
        <v>45149</v>
      </c>
      <c r="V494" s="22" t="s">
        <v>452</v>
      </c>
    </row>
    <row r="495" spans="1:22" x14ac:dyDescent="0.3">
      <c r="A495" t="s">
        <v>475</v>
      </c>
      <c r="B495" s="19" t="s">
        <v>497</v>
      </c>
      <c r="C495" s="20">
        <v>54.1</v>
      </c>
      <c r="U495" s="21">
        <v>45149</v>
      </c>
      <c r="V495" s="22" t="s">
        <v>452</v>
      </c>
    </row>
    <row r="496" spans="1:22" x14ac:dyDescent="0.3">
      <c r="A496" t="s">
        <v>475</v>
      </c>
      <c r="B496" s="19" t="s">
        <v>498</v>
      </c>
      <c r="C496" s="20">
        <v>40.479999999999997</v>
      </c>
      <c r="U496" s="21">
        <v>45149</v>
      </c>
      <c r="V496" s="22" t="s">
        <v>452</v>
      </c>
    </row>
    <row r="497" spans="1:22" x14ac:dyDescent="0.3">
      <c r="A497" t="s">
        <v>475</v>
      </c>
      <c r="B497" s="19" t="s">
        <v>499</v>
      </c>
      <c r="C497" s="20">
        <v>61.7</v>
      </c>
      <c r="U497" s="21">
        <v>45149</v>
      </c>
      <c r="V497" s="22" t="s">
        <v>452</v>
      </c>
    </row>
    <row r="498" spans="1:22" x14ac:dyDescent="0.3">
      <c r="A498" t="s">
        <v>475</v>
      </c>
      <c r="B498" s="19" t="s">
        <v>500</v>
      </c>
      <c r="C498" s="20">
        <v>4.5</v>
      </c>
      <c r="U498" s="21">
        <v>45149</v>
      </c>
      <c r="V498" s="22" t="s">
        <v>452</v>
      </c>
    </row>
    <row r="499" spans="1:22" x14ac:dyDescent="0.3">
      <c r="A499" t="s">
        <v>475</v>
      </c>
      <c r="B499" s="19" t="s">
        <v>501</v>
      </c>
      <c r="C499" s="20">
        <v>18.600000000000001</v>
      </c>
      <c r="U499" s="21">
        <v>45149</v>
      </c>
      <c r="V499" s="22" t="s">
        <v>452</v>
      </c>
    </row>
    <row r="500" spans="1:22" x14ac:dyDescent="0.3">
      <c r="A500" t="s">
        <v>475</v>
      </c>
      <c r="B500" s="19" t="s">
        <v>502</v>
      </c>
      <c r="C500" s="20">
        <v>13.08</v>
      </c>
      <c r="U500" s="21">
        <v>45149</v>
      </c>
      <c r="V500" s="22" t="s">
        <v>452</v>
      </c>
    </row>
    <row r="501" spans="1:22" x14ac:dyDescent="0.3">
      <c r="A501" t="s">
        <v>475</v>
      </c>
      <c r="B501" s="19" t="s">
        <v>503</v>
      </c>
      <c r="C501" s="20">
        <v>57.1</v>
      </c>
      <c r="U501" s="21">
        <v>45149</v>
      </c>
      <c r="V501" s="22" t="s">
        <v>452</v>
      </c>
    </row>
    <row r="502" spans="1:22" x14ac:dyDescent="0.3">
      <c r="A502" t="s">
        <v>475</v>
      </c>
      <c r="B502" s="19" t="s">
        <v>504</v>
      </c>
      <c r="C502" s="20">
        <v>89</v>
      </c>
      <c r="U502" s="21">
        <v>45112</v>
      </c>
      <c r="V502" s="22" t="s">
        <v>468</v>
      </c>
    </row>
    <row r="503" spans="1:22" x14ac:dyDescent="0.3">
      <c r="A503" t="s">
        <v>475</v>
      </c>
      <c r="B503" s="19" t="s">
        <v>505</v>
      </c>
      <c r="C503" s="20">
        <v>129</v>
      </c>
      <c r="U503" s="21">
        <v>45112</v>
      </c>
      <c r="V503" s="22" t="s">
        <v>468</v>
      </c>
    </row>
    <row r="505" spans="1:22" x14ac:dyDescent="0.3">
      <c r="A505" t="s">
        <v>506</v>
      </c>
      <c r="B505" s="19" t="s">
        <v>507</v>
      </c>
      <c r="C505" s="20">
        <v>1.1000000000000001</v>
      </c>
      <c r="U505" s="21">
        <v>45149</v>
      </c>
      <c r="V505" s="22" t="s">
        <v>452</v>
      </c>
    </row>
    <row r="506" spans="1:22" x14ac:dyDescent="0.3">
      <c r="A506" t="s">
        <v>506</v>
      </c>
      <c r="B506" s="19" t="s">
        <v>508</v>
      </c>
      <c r="C506" s="20">
        <v>2</v>
      </c>
      <c r="U506" s="21">
        <v>45112</v>
      </c>
      <c r="V506" s="22" t="s">
        <v>468</v>
      </c>
    </row>
    <row r="507" spans="1:22" x14ac:dyDescent="0.3">
      <c r="A507" t="s">
        <v>506</v>
      </c>
      <c r="B507" s="19" t="s">
        <v>509</v>
      </c>
      <c r="C507" s="20">
        <v>1.6</v>
      </c>
      <c r="U507" s="21">
        <v>45149</v>
      </c>
      <c r="V507" s="22" t="s">
        <v>452</v>
      </c>
    </row>
    <row r="508" spans="1:22" x14ac:dyDescent="0.3">
      <c r="A508" t="s">
        <v>506</v>
      </c>
      <c r="B508" s="19" t="s">
        <v>510</v>
      </c>
      <c r="C508" s="20">
        <v>2.2999999999999998</v>
      </c>
      <c r="U508" s="21">
        <v>45149</v>
      </c>
      <c r="V508" s="22" t="s">
        <v>452</v>
      </c>
    </row>
    <row r="509" spans="1:22" x14ac:dyDescent="0.3">
      <c r="A509" t="s">
        <v>506</v>
      </c>
      <c r="B509" s="19" t="s">
        <v>511</v>
      </c>
      <c r="C509" s="20">
        <v>4</v>
      </c>
      <c r="U509" s="21">
        <v>45112</v>
      </c>
      <c r="V509" s="22" t="s">
        <v>468</v>
      </c>
    </row>
    <row r="510" spans="1:22" x14ac:dyDescent="0.3">
      <c r="A510" t="s">
        <v>506</v>
      </c>
      <c r="B510" s="19" t="s">
        <v>512</v>
      </c>
      <c r="C510" s="20">
        <v>3.6</v>
      </c>
      <c r="U510" s="21">
        <v>45149</v>
      </c>
      <c r="V510" s="22" t="s">
        <v>452</v>
      </c>
    </row>
    <row r="511" spans="1:22" x14ac:dyDescent="0.3">
      <c r="A511" t="s">
        <v>506</v>
      </c>
      <c r="B511" s="19" t="s">
        <v>513</v>
      </c>
      <c r="C511" s="20">
        <v>5.9</v>
      </c>
      <c r="U511" s="21">
        <v>45149</v>
      </c>
      <c r="V511" s="22" t="s">
        <v>452</v>
      </c>
    </row>
    <row r="512" spans="1:22" x14ac:dyDescent="0.3">
      <c r="A512" t="s">
        <v>506</v>
      </c>
      <c r="B512" s="19" t="s">
        <v>514</v>
      </c>
      <c r="C512" s="20">
        <v>8.5</v>
      </c>
      <c r="U512" s="21">
        <v>45149</v>
      </c>
      <c r="V512" s="22" t="s">
        <v>452</v>
      </c>
    </row>
    <row r="513" spans="1:22" x14ac:dyDescent="0.3">
      <c r="A513" t="s">
        <v>506</v>
      </c>
      <c r="B513" s="19" t="s">
        <v>515</v>
      </c>
      <c r="C513" s="20">
        <v>16.100000000000001</v>
      </c>
      <c r="U513" s="21">
        <v>45149</v>
      </c>
      <c r="V513" s="22" t="s">
        <v>452</v>
      </c>
    </row>
    <row r="514" spans="1:22" x14ac:dyDescent="0.3">
      <c r="A514" t="s">
        <v>506</v>
      </c>
      <c r="B514" s="19" t="s">
        <v>516</v>
      </c>
      <c r="C514" s="20">
        <v>11</v>
      </c>
      <c r="U514" s="21">
        <v>45112</v>
      </c>
      <c r="V514" s="22" t="s">
        <v>468</v>
      </c>
    </row>
    <row r="515" spans="1:22" x14ac:dyDescent="0.3">
      <c r="A515" t="s">
        <v>506</v>
      </c>
      <c r="B515" s="19" t="s">
        <v>517</v>
      </c>
      <c r="C515" s="20">
        <v>10.91</v>
      </c>
      <c r="U515" s="21">
        <v>45149</v>
      </c>
      <c r="V515" s="22" t="s">
        <v>452</v>
      </c>
    </row>
    <row r="516" spans="1:22" x14ac:dyDescent="0.3">
      <c r="A516" t="s">
        <v>506</v>
      </c>
      <c r="B516" s="19" t="s">
        <v>518</v>
      </c>
      <c r="C516" s="20">
        <v>14.5</v>
      </c>
      <c r="U516" s="21">
        <v>45149</v>
      </c>
      <c r="V516" s="22" t="s">
        <v>452</v>
      </c>
    </row>
    <row r="517" spans="1:22" x14ac:dyDescent="0.3">
      <c r="A517" t="s">
        <v>506</v>
      </c>
      <c r="B517" s="19" t="s">
        <v>519</v>
      </c>
      <c r="C517" s="20">
        <v>26.2</v>
      </c>
      <c r="U517" s="21">
        <v>45149</v>
      </c>
      <c r="V517" s="22" t="s">
        <v>452</v>
      </c>
    </row>
    <row r="518" spans="1:22" x14ac:dyDescent="0.3">
      <c r="A518" t="s">
        <v>506</v>
      </c>
      <c r="B518" s="19" t="s">
        <v>520</v>
      </c>
      <c r="C518" s="20">
        <v>19.8</v>
      </c>
      <c r="U518" s="21">
        <v>45149</v>
      </c>
      <c r="V518" s="22" t="s">
        <v>452</v>
      </c>
    </row>
    <row r="519" spans="1:22" x14ac:dyDescent="0.3">
      <c r="A519" t="s">
        <v>506</v>
      </c>
      <c r="B519" s="19" t="s">
        <v>521</v>
      </c>
      <c r="C519" s="20">
        <v>30.2</v>
      </c>
      <c r="U519" s="21">
        <v>45149</v>
      </c>
      <c r="V519" s="22" t="s">
        <v>452</v>
      </c>
    </row>
    <row r="520" spans="1:22" x14ac:dyDescent="0.3">
      <c r="A520" t="s">
        <v>506</v>
      </c>
      <c r="B520" s="19" t="s">
        <v>522</v>
      </c>
      <c r="C520" s="20">
        <v>28.3</v>
      </c>
      <c r="U520" s="21">
        <v>45149</v>
      </c>
      <c r="V520" s="22" t="s">
        <v>452</v>
      </c>
    </row>
    <row r="522" spans="1:22" x14ac:dyDescent="0.3">
      <c r="A522" t="s">
        <v>523</v>
      </c>
      <c r="B522" s="19" t="str">
        <f>"3/4(0,25mm)"</f>
        <v>3/4(0,25mm)</v>
      </c>
      <c r="C522" s="20" t="s">
        <v>524</v>
      </c>
      <c r="U522" s="20" t="str">
        <f>"24/08/2023"</f>
        <v>24/08/2023</v>
      </c>
      <c r="V522" s="20" t="s">
        <v>525</v>
      </c>
    </row>
    <row r="523" spans="1:22" x14ac:dyDescent="0.3">
      <c r="A523" t="s">
        <v>523</v>
      </c>
      <c r="B523" s="19" t="s">
        <v>526</v>
      </c>
      <c r="C523" s="20" t="s">
        <v>527</v>
      </c>
      <c r="U523" s="20" t="str">
        <f>"24/08/2023"</f>
        <v>24/08/2023</v>
      </c>
      <c r="V523" s="20" t="s">
        <v>525</v>
      </c>
    </row>
    <row r="524" spans="1:22" x14ac:dyDescent="0.3">
      <c r="A524" t="s">
        <v>523</v>
      </c>
      <c r="B524" s="19" t="s">
        <v>528</v>
      </c>
      <c r="C524" s="20" t="s">
        <v>529</v>
      </c>
      <c r="U524" s="20" t="str">
        <f>"24/08/2023"</f>
        <v>24/08/2023</v>
      </c>
      <c r="V524" s="20" t="s">
        <v>525</v>
      </c>
    </row>
    <row r="525" spans="1:22" x14ac:dyDescent="0.3">
      <c r="A525" t="s">
        <v>523</v>
      </c>
      <c r="B525" s="19" t="s">
        <v>530</v>
      </c>
      <c r="C525" s="20" t="s">
        <v>531</v>
      </c>
      <c r="U525" s="20" t="str">
        <f>"24/08/2023"</f>
        <v>24/08/2023</v>
      </c>
      <c r="V525" s="20" t="s">
        <v>525</v>
      </c>
    </row>
    <row r="527" spans="1:22" x14ac:dyDescent="0.3">
      <c r="A527" t="str">
        <f>"DSP 15"</f>
        <v>DSP 15</v>
      </c>
      <c r="B527" s="1" t="s">
        <v>310</v>
      </c>
      <c r="Q527" s="26">
        <v>0.05</v>
      </c>
      <c r="S527" s="1" t="str">
        <f t="shared" ref="S527:S590" si="14">"12 a 15 dias"</f>
        <v>12 a 15 dias</v>
      </c>
      <c r="T527" s="8" t="s">
        <v>27</v>
      </c>
      <c r="U527" s="17"/>
      <c r="V527" t="s">
        <v>202</v>
      </c>
    </row>
    <row r="528" spans="1:22" x14ac:dyDescent="0.3">
      <c r="A528" t="str">
        <f t="shared" ref="A528:A591" si="15">"DSP 15"</f>
        <v>DSP 15</v>
      </c>
      <c r="B528" s="1" t="s">
        <v>311</v>
      </c>
      <c r="Q528" s="26">
        <v>0.05</v>
      </c>
      <c r="S528" s="1" t="str">
        <f t="shared" si="14"/>
        <v>12 a 15 dias</v>
      </c>
      <c r="T528" s="8" t="s">
        <v>27</v>
      </c>
      <c r="V528" t="s">
        <v>202</v>
      </c>
    </row>
    <row r="529" spans="1:22" x14ac:dyDescent="0.3">
      <c r="A529" t="str">
        <f t="shared" si="15"/>
        <v>DSP 15</v>
      </c>
      <c r="B529" s="1" t="s">
        <v>312</v>
      </c>
      <c r="Q529" s="26">
        <v>0.05</v>
      </c>
      <c r="S529" s="1" t="str">
        <f t="shared" si="14"/>
        <v>12 a 15 dias</v>
      </c>
      <c r="T529" s="8" t="s">
        <v>27</v>
      </c>
      <c r="V529" t="s">
        <v>202</v>
      </c>
    </row>
    <row r="530" spans="1:22" x14ac:dyDescent="0.3">
      <c r="A530" t="str">
        <f t="shared" si="15"/>
        <v>DSP 15</v>
      </c>
      <c r="B530" s="1" t="s">
        <v>313</v>
      </c>
      <c r="Q530" s="26">
        <v>0.05</v>
      </c>
      <c r="S530" s="1" t="str">
        <f t="shared" si="14"/>
        <v>12 a 15 dias</v>
      </c>
      <c r="T530" s="8" t="s">
        <v>27</v>
      </c>
      <c r="V530" t="s">
        <v>202</v>
      </c>
    </row>
    <row r="531" spans="1:22" x14ac:dyDescent="0.3">
      <c r="A531" t="str">
        <f t="shared" si="15"/>
        <v>DSP 15</v>
      </c>
      <c r="B531" s="1" t="s">
        <v>314</v>
      </c>
      <c r="Q531" s="26">
        <v>0.05</v>
      </c>
      <c r="S531" s="1" t="str">
        <f t="shared" si="14"/>
        <v>12 a 15 dias</v>
      </c>
      <c r="T531" s="8" t="s">
        <v>27</v>
      </c>
      <c r="V531" t="s">
        <v>202</v>
      </c>
    </row>
    <row r="532" spans="1:22" x14ac:dyDescent="0.3">
      <c r="A532" t="str">
        <f t="shared" si="15"/>
        <v>DSP 15</v>
      </c>
      <c r="B532" s="1" t="s">
        <v>315</v>
      </c>
      <c r="Q532" s="26">
        <v>0.05</v>
      </c>
      <c r="S532" s="1" t="str">
        <f t="shared" si="14"/>
        <v>12 a 15 dias</v>
      </c>
      <c r="T532" s="8" t="s">
        <v>27</v>
      </c>
      <c r="V532" t="s">
        <v>202</v>
      </c>
    </row>
    <row r="533" spans="1:22" x14ac:dyDescent="0.3">
      <c r="A533" t="str">
        <f t="shared" si="15"/>
        <v>DSP 15</v>
      </c>
      <c r="B533" s="1" t="s">
        <v>316</v>
      </c>
      <c r="Q533" s="26">
        <v>0.05</v>
      </c>
      <c r="S533" s="1" t="str">
        <f t="shared" si="14"/>
        <v>12 a 15 dias</v>
      </c>
      <c r="T533" s="8" t="s">
        <v>27</v>
      </c>
      <c r="V533" t="s">
        <v>202</v>
      </c>
    </row>
    <row r="534" spans="1:22" x14ac:dyDescent="0.3">
      <c r="A534" t="str">
        <f t="shared" si="15"/>
        <v>DSP 15</v>
      </c>
      <c r="B534" s="1" t="s">
        <v>317</v>
      </c>
      <c r="Q534" s="26">
        <v>0.05</v>
      </c>
      <c r="S534" s="1" t="str">
        <f t="shared" si="14"/>
        <v>12 a 15 dias</v>
      </c>
      <c r="T534" s="8" t="s">
        <v>27</v>
      </c>
      <c r="V534" t="s">
        <v>202</v>
      </c>
    </row>
    <row r="535" spans="1:22" x14ac:dyDescent="0.3">
      <c r="A535" t="str">
        <f t="shared" si="15"/>
        <v>DSP 15</v>
      </c>
      <c r="B535" s="1" t="s">
        <v>318</v>
      </c>
      <c r="Q535" s="26">
        <v>0.05</v>
      </c>
      <c r="S535" s="1" t="str">
        <f t="shared" si="14"/>
        <v>12 a 15 dias</v>
      </c>
      <c r="T535" s="8" t="s">
        <v>27</v>
      </c>
      <c r="V535" t="s">
        <v>202</v>
      </c>
    </row>
    <row r="536" spans="1:22" x14ac:dyDescent="0.3">
      <c r="A536" t="str">
        <f t="shared" si="15"/>
        <v>DSP 15</v>
      </c>
      <c r="B536" s="1" t="s">
        <v>319</v>
      </c>
      <c r="Q536" s="26">
        <v>0.05</v>
      </c>
      <c r="S536" s="1" t="str">
        <f t="shared" si="14"/>
        <v>12 a 15 dias</v>
      </c>
      <c r="T536" s="8" t="s">
        <v>27</v>
      </c>
      <c r="V536" t="s">
        <v>202</v>
      </c>
    </row>
    <row r="537" spans="1:22" x14ac:dyDescent="0.3">
      <c r="A537" t="str">
        <f t="shared" si="15"/>
        <v>DSP 15</v>
      </c>
      <c r="B537" s="1" t="s">
        <v>320</v>
      </c>
      <c r="Q537" s="26">
        <v>0.05</v>
      </c>
      <c r="S537" s="1" t="str">
        <f t="shared" si="14"/>
        <v>12 a 15 dias</v>
      </c>
      <c r="T537" s="8" t="s">
        <v>27</v>
      </c>
      <c r="V537" t="s">
        <v>202</v>
      </c>
    </row>
    <row r="538" spans="1:22" x14ac:dyDescent="0.3">
      <c r="A538" t="str">
        <f t="shared" si="15"/>
        <v>DSP 15</v>
      </c>
      <c r="B538" s="1" t="s">
        <v>321</v>
      </c>
      <c r="Q538" s="26">
        <v>0.05</v>
      </c>
      <c r="S538" s="1" t="str">
        <f t="shared" si="14"/>
        <v>12 a 15 dias</v>
      </c>
      <c r="T538" s="8" t="s">
        <v>27</v>
      </c>
      <c r="V538" t="s">
        <v>202</v>
      </c>
    </row>
    <row r="539" spans="1:22" x14ac:dyDescent="0.3">
      <c r="A539" t="str">
        <f t="shared" si="15"/>
        <v>DSP 15</v>
      </c>
      <c r="B539" s="1" t="s">
        <v>322</v>
      </c>
      <c r="Q539" s="26">
        <v>0.05</v>
      </c>
      <c r="S539" s="1" t="str">
        <f t="shared" si="14"/>
        <v>12 a 15 dias</v>
      </c>
      <c r="T539" s="8" t="s">
        <v>27</v>
      </c>
      <c r="V539" t="s">
        <v>202</v>
      </c>
    </row>
    <row r="540" spans="1:22" x14ac:dyDescent="0.3">
      <c r="A540" t="str">
        <f t="shared" si="15"/>
        <v>DSP 15</v>
      </c>
      <c r="B540" s="1" t="s">
        <v>323</v>
      </c>
      <c r="Q540" s="26">
        <v>0.05</v>
      </c>
      <c r="S540" s="1" t="str">
        <f t="shared" si="14"/>
        <v>12 a 15 dias</v>
      </c>
      <c r="T540" s="8" t="s">
        <v>27</v>
      </c>
      <c r="V540" t="s">
        <v>202</v>
      </c>
    </row>
    <row r="541" spans="1:22" x14ac:dyDescent="0.3">
      <c r="A541" t="str">
        <f t="shared" si="15"/>
        <v>DSP 15</v>
      </c>
      <c r="B541" s="1" t="s">
        <v>324</v>
      </c>
      <c r="Q541" s="26">
        <v>0.05</v>
      </c>
      <c r="S541" s="1" t="str">
        <f t="shared" si="14"/>
        <v>12 a 15 dias</v>
      </c>
      <c r="T541" s="8" t="s">
        <v>27</v>
      </c>
      <c r="V541" t="s">
        <v>202</v>
      </c>
    </row>
    <row r="542" spans="1:22" x14ac:dyDescent="0.3">
      <c r="A542" t="str">
        <f t="shared" si="15"/>
        <v>DSP 15</v>
      </c>
      <c r="B542" s="1" t="s">
        <v>325</v>
      </c>
      <c r="Q542" s="26">
        <v>0.05</v>
      </c>
      <c r="S542" s="1" t="str">
        <f t="shared" si="14"/>
        <v>12 a 15 dias</v>
      </c>
      <c r="T542" s="8" t="s">
        <v>27</v>
      </c>
      <c r="V542" t="s">
        <v>202</v>
      </c>
    </row>
    <row r="543" spans="1:22" x14ac:dyDescent="0.3">
      <c r="A543" t="str">
        <f t="shared" si="15"/>
        <v>DSP 15</v>
      </c>
      <c r="B543" s="1" t="s">
        <v>326</v>
      </c>
      <c r="Q543" s="26">
        <v>0.05</v>
      </c>
      <c r="S543" s="1" t="str">
        <f t="shared" si="14"/>
        <v>12 a 15 dias</v>
      </c>
      <c r="T543" s="8" t="s">
        <v>27</v>
      </c>
      <c r="V543" t="s">
        <v>202</v>
      </c>
    </row>
    <row r="544" spans="1:22" x14ac:dyDescent="0.3">
      <c r="A544" t="str">
        <f t="shared" si="15"/>
        <v>DSP 15</v>
      </c>
      <c r="B544" s="1" t="s">
        <v>327</v>
      </c>
      <c r="C544" s="6">
        <v>1030</v>
      </c>
      <c r="Q544" s="26">
        <v>0.05</v>
      </c>
      <c r="S544" s="1" t="str">
        <f t="shared" si="14"/>
        <v>12 a 15 dias</v>
      </c>
      <c r="T544" s="8" t="s">
        <v>27</v>
      </c>
      <c r="U544" s="17"/>
      <c r="V544" t="s">
        <v>202</v>
      </c>
    </row>
    <row r="545" spans="1:22" x14ac:dyDescent="0.3">
      <c r="A545" t="str">
        <f t="shared" si="15"/>
        <v>DSP 15</v>
      </c>
      <c r="B545" s="1" t="s">
        <v>329</v>
      </c>
      <c r="Q545" s="26">
        <v>0.05</v>
      </c>
      <c r="S545" s="1" t="str">
        <f t="shared" si="14"/>
        <v>12 a 15 dias</v>
      </c>
      <c r="T545" s="8" t="s">
        <v>27</v>
      </c>
      <c r="V545" t="s">
        <v>202</v>
      </c>
    </row>
    <row r="546" spans="1:22" x14ac:dyDescent="0.3">
      <c r="A546" t="str">
        <f t="shared" si="15"/>
        <v>DSP 15</v>
      </c>
      <c r="B546" s="1" t="s">
        <v>330</v>
      </c>
      <c r="Q546" s="26">
        <v>0.05</v>
      </c>
      <c r="S546" s="1" t="str">
        <f t="shared" si="14"/>
        <v>12 a 15 dias</v>
      </c>
      <c r="T546" s="8" t="s">
        <v>27</v>
      </c>
      <c r="V546" t="s">
        <v>202</v>
      </c>
    </row>
    <row r="547" spans="1:22" x14ac:dyDescent="0.3">
      <c r="A547" t="str">
        <f t="shared" si="15"/>
        <v>DSP 15</v>
      </c>
      <c r="B547" s="1" t="s">
        <v>331</v>
      </c>
      <c r="Q547" s="26">
        <v>0.05</v>
      </c>
      <c r="S547" s="1" t="str">
        <f t="shared" si="14"/>
        <v>12 a 15 dias</v>
      </c>
      <c r="T547" s="8" t="s">
        <v>27</v>
      </c>
      <c r="V547" t="s">
        <v>202</v>
      </c>
    </row>
    <row r="548" spans="1:22" x14ac:dyDescent="0.3">
      <c r="A548" t="str">
        <f t="shared" si="15"/>
        <v>DSP 15</v>
      </c>
      <c r="B548" s="1" t="s">
        <v>332</v>
      </c>
      <c r="Q548" s="26">
        <v>0.05</v>
      </c>
      <c r="S548" s="1" t="str">
        <f t="shared" si="14"/>
        <v>12 a 15 dias</v>
      </c>
      <c r="T548" s="8" t="s">
        <v>27</v>
      </c>
      <c r="V548" t="s">
        <v>202</v>
      </c>
    </row>
    <row r="549" spans="1:22" x14ac:dyDescent="0.3">
      <c r="A549" t="str">
        <f t="shared" si="15"/>
        <v>DSP 15</v>
      </c>
      <c r="B549" s="1" t="s">
        <v>333</v>
      </c>
      <c r="Q549" s="26">
        <v>0.05</v>
      </c>
      <c r="S549" s="1" t="str">
        <f t="shared" si="14"/>
        <v>12 a 15 dias</v>
      </c>
      <c r="T549" s="8" t="s">
        <v>27</v>
      </c>
      <c r="V549" t="s">
        <v>202</v>
      </c>
    </row>
    <row r="550" spans="1:22" x14ac:dyDescent="0.3">
      <c r="A550" t="str">
        <f t="shared" si="15"/>
        <v>DSP 15</v>
      </c>
      <c r="B550" s="1" t="s">
        <v>334</v>
      </c>
      <c r="Q550" s="26">
        <v>0.05</v>
      </c>
      <c r="S550" s="1" t="str">
        <f t="shared" si="14"/>
        <v>12 a 15 dias</v>
      </c>
      <c r="T550" s="8" t="s">
        <v>27</v>
      </c>
      <c r="V550" t="s">
        <v>202</v>
      </c>
    </row>
    <row r="551" spans="1:22" x14ac:dyDescent="0.3">
      <c r="A551" t="str">
        <f t="shared" si="15"/>
        <v>DSP 15</v>
      </c>
      <c r="B551" s="1" t="s">
        <v>335</v>
      </c>
      <c r="Q551" s="26">
        <v>0.05</v>
      </c>
      <c r="S551" s="1" t="str">
        <f t="shared" si="14"/>
        <v>12 a 15 dias</v>
      </c>
      <c r="T551" s="8" t="s">
        <v>27</v>
      </c>
      <c r="V551" t="s">
        <v>202</v>
      </c>
    </row>
    <row r="552" spans="1:22" x14ac:dyDescent="0.3">
      <c r="A552" t="str">
        <f t="shared" si="15"/>
        <v>DSP 15</v>
      </c>
      <c r="B552" s="1" t="s">
        <v>336</v>
      </c>
      <c r="Q552" s="26">
        <v>0.05</v>
      </c>
      <c r="S552" s="1" t="str">
        <f t="shared" si="14"/>
        <v>12 a 15 dias</v>
      </c>
      <c r="T552" s="8" t="s">
        <v>27</v>
      </c>
      <c r="V552" t="s">
        <v>202</v>
      </c>
    </row>
    <row r="553" spans="1:22" x14ac:dyDescent="0.3">
      <c r="A553" t="str">
        <f t="shared" si="15"/>
        <v>DSP 15</v>
      </c>
      <c r="B553" s="1" t="s">
        <v>337</v>
      </c>
      <c r="Q553" s="26">
        <v>0.05</v>
      </c>
      <c r="S553" s="1" t="str">
        <f t="shared" si="14"/>
        <v>12 a 15 dias</v>
      </c>
      <c r="T553" s="8" t="s">
        <v>27</v>
      </c>
      <c r="V553" t="s">
        <v>202</v>
      </c>
    </row>
    <row r="554" spans="1:22" x14ac:dyDescent="0.3">
      <c r="A554" t="str">
        <f t="shared" si="15"/>
        <v>DSP 15</v>
      </c>
      <c r="B554" s="1" t="s">
        <v>338</v>
      </c>
      <c r="Q554" s="26">
        <v>0.05</v>
      </c>
      <c r="S554" s="1" t="str">
        <f t="shared" si="14"/>
        <v>12 a 15 dias</v>
      </c>
      <c r="T554" s="8" t="s">
        <v>27</v>
      </c>
      <c r="V554" t="s">
        <v>202</v>
      </c>
    </row>
    <row r="555" spans="1:22" x14ac:dyDescent="0.3">
      <c r="A555" t="str">
        <f t="shared" si="15"/>
        <v>DSP 15</v>
      </c>
      <c r="B555" s="1" t="s">
        <v>339</v>
      </c>
      <c r="Q555" s="26">
        <v>0.05</v>
      </c>
      <c r="S555" s="1" t="str">
        <f t="shared" si="14"/>
        <v>12 a 15 dias</v>
      </c>
      <c r="T555" s="8" t="s">
        <v>27</v>
      </c>
      <c r="V555" t="s">
        <v>202</v>
      </c>
    </row>
    <row r="556" spans="1:22" x14ac:dyDescent="0.3">
      <c r="A556" t="str">
        <f t="shared" si="15"/>
        <v>DSP 15</v>
      </c>
      <c r="B556" s="1" t="s">
        <v>340</v>
      </c>
      <c r="Q556" s="26">
        <v>0.05</v>
      </c>
      <c r="S556" s="1" t="str">
        <f t="shared" si="14"/>
        <v>12 a 15 dias</v>
      </c>
      <c r="T556" s="8" t="s">
        <v>27</v>
      </c>
      <c r="V556" t="s">
        <v>202</v>
      </c>
    </row>
    <row r="557" spans="1:22" x14ac:dyDescent="0.3">
      <c r="A557" t="str">
        <f t="shared" si="15"/>
        <v>DSP 15</v>
      </c>
      <c r="B557" s="1" t="s">
        <v>341</v>
      </c>
      <c r="C557" s="6">
        <v>490</v>
      </c>
      <c r="Q557" s="26">
        <v>0.05</v>
      </c>
      <c r="S557" s="1" t="str">
        <f t="shared" si="14"/>
        <v>12 a 15 dias</v>
      </c>
      <c r="T557" s="8" t="s">
        <v>27</v>
      </c>
      <c r="U557" s="17">
        <v>45057</v>
      </c>
      <c r="V557" t="s">
        <v>202</v>
      </c>
    </row>
    <row r="558" spans="1:22" x14ac:dyDescent="0.3">
      <c r="A558" t="str">
        <f t="shared" si="15"/>
        <v>DSP 15</v>
      </c>
      <c r="B558" s="1" t="s">
        <v>342</v>
      </c>
      <c r="Q558" s="26">
        <v>0.05</v>
      </c>
      <c r="S558" s="1" t="str">
        <f t="shared" si="14"/>
        <v>12 a 15 dias</v>
      </c>
      <c r="T558" s="8" t="s">
        <v>27</v>
      </c>
      <c r="V558" t="s">
        <v>202</v>
      </c>
    </row>
    <row r="559" spans="1:22" x14ac:dyDescent="0.3">
      <c r="A559" t="str">
        <f t="shared" si="15"/>
        <v>DSP 15</v>
      </c>
      <c r="B559" s="1" t="s">
        <v>343</v>
      </c>
      <c r="Q559" s="26">
        <v>0.05</v>
      </c>
      <c r="S559" s="1" t="str">
        <f t="shared" si="14"/>
        <v>12 a 15 dias</v>
      </c>
      <c r="T559" s="8" t="s">
        <v>27</v>
      </c>
      <c r="V559" t="s">
        <v>202</v>
      </c>
    </row>
    <row r="560" spans="1:22" x14ac:dyDescent="0.3">
      <c r="A560" t="str">
        <f t="shared" si="15"/>
        <v>DSP 15</v>
      </c>
      <c r="B560" s="1" t="s">
        <v>344</v>
      </c>
      <c r="Q560" s="26">
        <v>0.05</v>
      </c>
      <c r="S560" s="1" t="str">
        <f t="shared" si="14"/>
        <v>12 a 15 dias</v>
      </c>
      <c r="T560" s="8" t="s">
        <v>27</v>
      </c>
      <c r="V560" t="s">
        <v>202</v>
      </c>
    </row>
    <row r="561" spans="1:22" x14ac:dyDescent="0.3">
      <c r="A561" t="str">
        <f t="shared" si="15"/>
        <v>DSP 15</v>
      </c>
      <c r="B561" s="1" t="s">
        <v>345</v>
      </c>
      <c r="Q561" s="26">
        <v>0.05</v>
      </c>
      <c r="S561" s="1" t="str">
        <f t="shared" si="14"/>
        <v>12 a 15 dias</v>
      </c>
      <c r="T561" s="8" t="s">
        <v>27</v>
      </c>
      <c r="V561" t="s">
        <v>202</v>
      </c>
    </row>
    <row r="562" spans="1:22" x14ac:dyDescent="0.3">
      <c r="A562" t="str">
        <f t="shared" si="15"/>
        <v>DSP 15</v>
      </c>
      <c r="B562" s="1" t="s">
        <v>346</v>
      </c>
      <c r="Q562" s="26">
        <v>0.05</v>
      </c>
      <c r="S562" s="1" t="str">
        <f t="shared" si="14"/>
        <v>12 a 15 dias</v>
      </c>
      <c r="T562" s="8" t="s">
        <v>27</v>
      </c>
      <c r="V562" t="s">
        <v>202</v>
      </c>
    </row>
    <row r="563" spans="1:22" x14ac:dyDescent="0.3">
      <c r="A563" t="str">
        <f t="shared" si="15"/>
        <v>DSP 15</v>
      </c>
      <c r="B563" s="1" t="s">
        <v>347</v>
      </c>
      <c r="Q563" s="26">
        <v>0.05</v>
      </c>
      <c r="S563" s="1" t="str">
        <f t="shared" si="14"/>
        <v>12 a 15 dias</v>
      </c>
      <c r="T563" s="8" t="s">
        <v>27</v>
      </c>
      <c r="V563" t="s">
        <v>202</v>
      </c>
    </row>
    <row r="564" spans="1:22" x14ac:dyDescent="0.3">
      <c r="A564" t="str">
        <f t="shared" si="15"/>
        <v>DSP 15</v>
      </c>
      <c r="B564" s="1" t="s">
        <v>348</v>
      </c>
      <c r="Q564" s="26">
        <v>0.05</v>
      </c>
      <c r="S564" s="1" t="str">
        <f t="shared" si="14"/>
        <v>12 a 15 dias</v>
      </c>
      <c r="T564" s="8" t="s">
        <v>27</v>
      </c>
      <c r="V564" t="s">
        <v>202</v>
      </c>
    </row>
    <row r="565" spans="1:22" x14ac:dyDescent="0.3">
      <c r="A565" t="str">
        <f t="shared" si="15"/>
        <v>DSP 15</v>
      </c>
      <c r="B565" s="1" t="s">
        <v>349</v>
      </c>
      <c r="Q565" s="26">
        <v>0.05</v>
      </c>
      <c r="S565" s="1" t="str">
        <f t="shared" si="14"/>
        <v>12 a 15 dias</v>
      </c>
      <c r="T565" s="8" t="s">
        <v>27</v>
      </c>
      <c r="V565" t="s">
        <v>202</v>
      </c>
    </row>
    <row r="566" spans="1:22" x14ac:dyDescent="0.3">
      <c r="A566" t="str">
        <f t="shared" si="15"/>
        <v>DSP 15</v>
      </c>
      <c r="B566" s="1" t="s">
        <v>350</v>
      </c>
      <c r="Q566" s="26">
        <v>0.05</v>
      </c>
      <c r="S566" s="1" t="str">
        <f t="shared" si="14"/>
        <v>12 a 15 dias</v>
      </c>
      <c r="T566" s="8" t="s">
        <v>27</v>
      </c>
      <c r="V566" t="s">
        <v>202</v>
      </c>
    </row>
    <row r="567" spans="1:22" x14ac:dyDescent="0.3">
      <c r="A567" t="str">
        <f t="shared" si="15"/>
        <v>DSP 15</v>
      </c>
      <c r="B567" s="1" t="s">
        <v>351</v>
      </c>
      <c r="Q567" s="26">
        <v>0.05</v>
      </c>
      <c r="S567" s="1" t="str">
        <f t="shared" si="14"/>
        <v>12 a 15 dias</v>
      </c>
      <c r="T567" s="8" t="s">
        <v>27</v>
      </c>
      <c r="V567" t="s">
        <v>202</v>
      </c>
    </row>
    <row r="568" spans="1:22" x14ac:dyDescent="0.3">
      <c r="A568" t="str">
        <f t="shared" si="15"/>
        <v>DSP 15</v>
      </c>
      <c r="B568" s="1" t="s">
        <v>352</v>
      </c>
      <c r="Q568" s="26">
        <v>0.05</v>
      </c>
      <c r="S568" s="1" t="str">
        <f t="shared" si="14"/>
        <v>12 a 15 dias</v>
      </c>
      <c r="T568" s="8" t="s">
        <v>27</v>
      </c>
      <c r="V568" t="s">
        <v>202</v>
      </c>
    </row>
    <row r="569" spans="1:22" x14ac:dyDescent="0.3">
      <c r="A569" t="str">
        <f t="shared" si="15"/>
        <v>DSP 15</v>
      </c>
      <c r="B569" s="1" t="s">
        <v>353</v>
      </c>
      <c r="Q569" s="26">
        <v>0.05</v>
      </c>
      <c r="S569" s="1" t="str">
        <f t="shared" si="14"/>
        <v>12 a 15 dias</v>
      </c>
      <c r="T569" s="8" t="s">
        <v>27</v>
      </c>
      <c r="V569" t="s">
        <v>202</v>
      </c>
    </row>
    <row r="570" spans="1:22" x14ac:dyDescent="0.3">
      <c r="A570" t="str">
        <f t="shared" si="15"/>
        <v>DSP 15</v>
      </c>
      <c r="B570" s="1" t="s">
        <v>354</v>
      </c>
      <c r="Q570" s="26">
        <v>0.05</v>
      </c>
      <c r="S570" s="1" t="str">
        <f t="shared" si="14"/>
        <v>12 a 15 dias</v>
      </c>
      <c r="T570" s="8" t="s">
        <v>27</v>
      </c>
      <c r="V570" t="s">
        <v>202</v>
      </c>
    </row>
    <row r="571" spans="1:22" x14ac:dyDescent="0.3">
      <c r="A571" t="str">
        <f t="shared" si="15"/>
        <v>DSP 15</v>
      </c>
      <c r="B571" s="1" t="s">
        <v>355</v>
      </c>
      <c r="Q571" s="26">
        <v>0.05</v>
      </c>
      <c r="S571" s="1" t="str">
        <f t="shared" si="14"/>
        <v>12 a 15 dias</v>
      </c>
      <c r="T571" s="8" t="s">
        <v>27</v>
      </c>
      <c r="V571" t="s">
        <v>202</v>
      </c>
    </row>
    <row r="572" spans="1:22" x14ac:dyDescent="0.3">
      <c r="A572" t="str">
        <f t="shared" si="15"/>
        <v>DSP 15</v>
      </c>
      <c r="B572" s="1" t="s">
        <v>356</v>
      </c>
      <c r="Q572" s="26">
        <v>0.05</v>
      </c>
      <c r="S572" s="1" t="str">
        <f t="shared" si="14"/>
        <v>12 a 15 dias</v>
      </c>
      <c r="T572" s="8" t="s">
        <v>27</v>
      </c>
      <c r="V572" t="s">
        <v>202</v>
      </c>
    </row>
    <row r="573" spans="1:22" x14ac:dyDescent="0.3">
      <c r="A573" t="str">
        <f t="shared" si="15"/>
        <v>DSP 15</v>
      </c>
      <c r="B573" s="1" t="s">
        <v>357</v>
      </c>
      <c r="Q573" s="26">
        <v>0.05</v>
      </c>
      <c r="S573" s="1" t="str">
        <f t="shared" si="14"/>
        <v>12 a 15 dias</v>
      </c>
      <c r="T573" s="8" t="s">
        <v>27</v>
      </c>
      <c r="V573" t="s">
        <v>202</v>
      </c>
    </row>
    <row r="574" spans="1:22" x14ac:dyDescent="0.3">
      <c r="A574" t="str">
        <f t="shared" si="15"/>
        <v>DSP 15</v>
      </c>
      <c r="B574" s="1" t="s">
        <v>358</v>
      </c>
      <c r="Q574" s="26">
        <v>0.05</v>
      </c>
      <c r="S574" s="1" t="str">
        <f t="shared" si="14"/>
        <v>12 a 15 dias</v>
      </c>
      <c r="T574" s="8" t="s">
        <v>27</v>
      </c>
      <c r="V574" t="s">
        <v>202</v>
      </c>
    </row>
    <row r="575" spans="1:22" x14ac:dyDescent="0.3">
      <c r="A575" t="str">
        <f t="shared" si="15"/>
        <v>DSP 15</v>
      </c>
      <c r="B575" s="1" t="s">
        <v>359</v>
      </c>
      <c r="Q575" s="26">
        <v>0.05</v>
      </c>
      <c r="S575" s="1" t="str">
        <f t="shared" si="14"/>
        <v>12 a 15 dias</v>
      </c>
      <c r="T575" s="8" t="s">
        <v>27</v>
      </c>
      <c r="V575" t="s">
        <v>202</v>
      </c>
    </row>
    <row r="576" spans="1:22" x14ac:dyDescent="0.3">
      <c r="A576" t="str">
        <f t="shared" si="15"/>
        <v>DSP 15</v>
      </c>
      <c r="B576" s="1" t="s">
        <v>360</v>
      </c>
      <c r="Q576" s="26">
        <v>0.05</v>
      </c>
      <c r="S576" s="1" t="str">
        <f t="shared" si="14"/>
        <v>12 a 15 dias</v>
      </c>
      <c r="T576" s="8" t="s">
        <v>27</v>
      </c>
      <c r="V576" t="s">
        <v>202</v>
      </c>
    </row>
    <row r="577" spans="1:22" x14ac:dyDescent="0.3">
      <c r="A577" t="str">
        <f t="shared" si="15"/>
        <v>DSP 15</v>
      </c>
      <c r="B577" s="1" t="s">
        <v>361</v>
      </c>
      <c r="Q577" s="26">
        <v>0.05</v>
      </c>
      <c r="S577" s="1" t="str">
        <f t="shared" si="14"/>
        <v>12 a 15 dias</v>
      </c>
      <c r="T577" s="8" t="s">
        <v>27</v>
      </c>
      <c r="V577" t="s">
        <v>202</v>
      </c>
    </row>
    <row r="578" spans="1:22" x14ac:dyDescent="0.3">
      <c r="A578" t="str">
        <f t="shared" si="15"/>
        <v>DSP 15</v>
      </c>
      <c r="B578" s="1" t="s">
        <v>362</v>
      </c>
      <c r="Q578" s="26">
        <v>0.05</v>
      </c>
      <c r="S578" s="1" t="str">
        <f t="shared" si="14"/>
        <v>12 a 15 dias</v>
      </c>
      <c r="T578" s="8" t="s">
        <v>27</v>
      </c>
      <c r="V578" t="s">
        <v>202</v>
      </c>
    </row>
    <row r="579" spans="1:22" x14ac:dyDescent="0.3">
      <c r="A579" t="str">
        <f t="shared" si="15"/>
        <v>DSP 15</v>
      </c>
      <c r="B579" s="1" t="s">
        <v>363</v>
      </c>
      <c r="Q579" s="26">
        <v>0.05</v>
      </c>
      <c r="S579" s="1" t="str">
        <f t="shared" si="14"/>
        <v>12 a 15 dias</v>
      </c>
      <c r="T579" s="8" t="s">
        <v>27</v>
      </c>
      <c r="V579" t="s">
        <v>202</v>
      </c>
    </row>
    <row r="580" spans="1:22" x14ac:dyDescent="0.3">
      <c r="A580" t="str">
        <f t="shared" si="15"/>
        <v>DSP 15</v>
      </c>
      <c r="B580" s="1" t="s">
        <v>364</v>
      </c>
      <c r="Q580" s="26">
        <v>0.05</v>
      </c>
      <c r="S580" s="1" t="str">
        <f t="shared" si="14"/>
        <v>12 a 15 dias</v>
      </c>
      <c r="T580" s="8" t="s">
        <v>27</v>
      </c>
      <c r="V580" t="s">
        <v>202</v>
      </c>
    </row>
    <row r="581" spans="1:22" x14ac:dyDescent="0.3">
      <c r="A581" t="str">
        <f t="shared" si="15"/>
        <v>DSP 15</v>
      </c>
      <c r="B581" s="1" t="s">
        <v>365</v>
      </c>
      <c r="Q581" s="26">
        <v>0.05</v>
      </c>
      <c r="S581" s="1" t="str">
        <f t="shared" si="14"/>
        <v>12 a 15 dias</v>
      </c>
      <c r="T581" s="8" t="s">
        <v>27</v>
      </c>
      <c r="V581" t="s">
        <v>202</v>
      </c>
    </row>
    <row r="582" spans="1:22" x14ac:dyDescent="0.3">
      <c r="A582" t="str">
        <f t="shared" si="15"/>
        <v>DSP 15</v>
      </c>
      <c r="B582" s="1" t="s">
        <v>366</v>
      </c>
      <c r="Q582" s="26">
        <v>0.05</v>
      </c>
      <c r="S582" s="1" t="str">
        <f t="shared" si="14"/>
        <v>12 a 15 dias</v>
      </c>
      <c r="T582" s="8" t="s">
        <v>27</v>
      </c>
      <c r="V582" t="s">
        <v>202</v>
      </c>
    </row>
    <row r="583" spans="1:22" x14ac:dyDescent="0.3">
      <c r="A583" t="str">
        <f t="shared" si="15"/>
        <v>DSP 15</v>
      </c>
      <c r="B583" s="1" t="s">
        <v>367</v>
      </c>
      <c r="Q583" s="26">
        <v>0.05</v>
      </c>
      <c r="S583" s="1" t="str">
        <f t="shared" si="14"/>
        <v>12 a 15 dias</v>
      </c>
      <c r="T583" s="8" t="s">
        <v>27</v>
      </c>
      <c r="V583" t="s">
        <v>202</v>
      </c>
    </row>
    <row r="584" spans="1:22" x14ac:dyDescent="0.3">
      <c r="A584" t="str">
        <f t="shared" si="15"/>
        <v>DSP 15</v>
      </c>
      <c r="B584" s="1" t="s">
        <v>368</v>
      </c>
      <c r="Q584" s="26">
        <v>0.05</v>
      </c>
      <c r="S584" s="1" t="str">
        <f t="shared" si="14"/>
        <v>12 a 15 dias</v>
      </c>
      <c r="T584" s="8" t="s">
        <v>27</v>
      </c>
      <c r="V584" t="s">
        <v>202</v>
      </c>
    </row>
    <row r="585" spans="1:22" x14ac:dyDescent="0.3">
      <c r="A585" t="str">
        <f t="shared" si="15"/>
        <v>DSP 15</v>
      </c>
      <c r="B585" s="1" t="s">
        <v>369</v>
      </c>
      <c r="Q585" s="26">
        <v>0.05</v>
      </c>
      <c r="S585" s="1" t="str">
        <f t="shared" si="14"/>
        <v>12 a 15 dias</v>
      </c>
      <c r="T585" s="8" t="s">
        <v>27</v>
      </c>
      <c r="V585" t="s">
        <v>202</v>
      </c>
    </row>
    <row r="586" spans="1:22" x14ac:dyDescent="0.3">
      <c r="A586" t="str">
        <f t="shared" si="15"/>
        <v>DSP 15</v>
      </c>
      <c r="B586" s="1" t="s">
        <v>370</v>
      </c>
      <c r="Q586" s="26">
        <v>0.05</v>
      </c>
      <c r="S586" s="1" t="str">
        <f t="shared" si="14"/>
        <v>12 a 15 dias</v>
      </c>
      <c r="T586" s="8" t="s">
        <v>27</v>
      </c>
      <c r="V586" t="s">
        <v>202</v>
      </c>
    </row>
    <row r="587" spans="1:22" x14ac:dyDescent="0.3">
      <c r="A587" t="str">
        <f t="shared" si="15"/>
        <v>DSP 15</v>
      </c>
      <c r="B587" s="1" t="s">
        <v>371</v>
      </c>
      <c r="Q587" s="26">
        <v>0.05</v>
      </c>
      <c r="S587" s="1" t="str">
        <f t="shared" si="14"/>
        <v>12 a 15 dias</v>
      </c>
      <c r="T587" s="8" t="s">
        <v>27</v>
      </c>
      <c r="V587" t="s">
        <v>202</v>
      </c>
    </row>
    <row r="588" spans="1:22" x14ac:dyDescent="0.3">
      <c r="A588" t="str">
        <f t="shared" si="15"/>
        <v>DSP 15</v>
      </c>
      <c r="B588" s="1" t="s">
        <v>372</v>
      </c>
      <c r="Q588" s="26">
        <v>0.05</v>
      </c>
      <c r="S588" s="1" t="str">
        <f t="shared" si="14"/>
        <v>12 a 15 dias</v>
      </c>
      <c r="T588" s="8" t="s">
        <v>27</v>
      </c>
      <c r="V588" t="s">
        <v>202</v>
      </c>
    </row>
    <row r="589" spans="1:22" x14ac:dyDescent="0.3">
      <c r="A589" t="str">
        <f t="shared" si="15"/>
        <v>DSP 15</v>
      </c>
      <c r="B589" s="1" t="s">
        <v>373</v>
      </c>
      <c r="Q589" s="26">
        <v>0.05</v>
      </c>
      <c r="S589" s="1" t="str">
        <f t="shared" si="14"/>
        <v>12 a 15 dias</v>
      </c>
      <c r="T589" s="8" t="s">
        <v>27</v>
      </c>
      <c r="V589" t="s">
        <v>202</v>
      </c>
    </row>
    <row r="590" spans="1:22" x14ac:dyDescent="0.3">
      <c r="A590" t="str">
        <f t="shared" si="15"/>
        <v>DSP 15</v>
      </c>
      <c r="B590" s="1" t="s">
        <v>374</v>
      </c>
      <c r="Q590" s="26">
        <v>0.05</v>
      </c>
      <c r="S590" s="1" t="str">
        <f t="shared" si="14"/>
        <v>12 a 15 dias</v>
      </c>
      <c r="T590" s="8" t="s">
        <v>27</v>
      </c>
      <c r="V590" t="s">
        <v>202</v>
      </c>
    </row>
    <row r="591" spans="1:22" x14ac:dyDescent="0.3">
      <c r="A591" t="str">
        <f t="shared" si="15"/>
        <v>DSP 15</v>
      </c>
      <c r="B591" s="1" t="s">
        <v>375</v>
      </c>
      <c r="Q591" s="26">
        <v>0.05</v>
      </c>
      <c r="S591" s="1" t="str">
        <f t="shared" ref="S591:S606" si="16">"12 a 15 dias"</f>
        <v>12 a 15 dias</v>
      </c>
      <c r="T591" s="8" t="s">
        <v>27</v>
      </c>
      <c r="V591" t="s">
        <v>202</v>
      </c>
    </row>
    <row r="592" spans="1:22" x14ac:dyDescent="0.3">
      <c r="A592" t="str">
        <f t="shared" ref="A592:A655" si="17">"DSP 15"</f>
        <v>DSP 15</v>
      </c>
      <c r="B592" s="1" t="s">
        <v>376</v>
      </c>
      <c r="Q592" s="26">
        <v>0.05</v>
      </c>
      <c r="S592" s="1" t="str">
        <f t="shared" si="16"/>
        <v>12 a 15 dias</v>
      </c>
      <c r="T592" s="8" t="s">
        <v>27</v>
      </c>
      <c r="V592" t="s">
        <v>202</v>
      </c>
    </row>
    <row r="593" spans="1:22" x14ac:dyDescent="0.3">
      <c r="A593" t="str">
        <f t="shared" si="17"/>
        <v>DSP 15</v>
      </c>
      <c r="B593" s="1" t="s">
        <v>377</v>
      </c>
      <c r="Q593" s="26">
        <v>0.05</v>
      </c>
      <c r="S593" s="1" t="str">
        <f t="shared" si="16"/>
        <v>12 a 15 dias</v>
      </c>
      <c r="T593" s="8" t="s">
        <v>27</v>
      </c>
      <c r="V593" t="s">
        <v>202</v>
      </c>
    </row>
    <row r="594" spans="1:22" x14ac:dyDescent="0.3">
      <c r="A594" t="str">
        <f t="shared" si="17"/>
        <v>DSP 15</v>
      </c>
      <c r="B594" s="1" t="s">
        <v>378</v>
      </c>
      <c r="C594" s="6">
        <v>1252</v>
      </c>
      <c r="Q594" s="26">
        <v>0.05</v>
      </c>
      <c r="S594" s="1" t="str">
        <f t="shared" si="16"/>
        <v>12 a 15 dias</v>
      </c>
      <c r="T594" s="8" t="s">
        <v>27</v>
      </c>
      <c r="U594" s="17"/>
      <c r="V594" t="s">
        <v>202</v>
      </c>
    </row>
    <row r="595" spans="1:22" x14ac:dyDescent="0.3">
      <c r="A595" t="str">
        <f t="shared" si="17"/>
        <v>DSP 15</v>
      </c>
      <c r="B595" s="1" t="s">
        <v>379</v>
      </c>
      <c r="C595" s="6">
        <v>1340</v>
      </c>
      <c r="Q595" s="26">
        <v>0.05</v>
      </c>
      <c r="S595" s="1" t="str">
        <f t="shared" si="16"/>
        <v>12 a 15 dias</v>
      </c>
      <c r="T595" s="8" t="s">
        <v>27</v>
      </c>
      <c r="U595" s="17"/>
      <c r="V595" t="s">
        <v>202</v>
      </c>
    </row>
    <row r="596" spans="1:22" x14ac:dyDescent="0.3">
      <c r="A596" t="str">
        <f t="shared" si="17"/>
        <v>DSP 15</v>
      </c>
      <c r="B596" s="1" t="s">
        <v>380</v>
      </c>
      <c r="C596" s="6">
        <v>1390</v>
      </c>
      <c r="Q596" s="26">
        <v>0.05</v>
      </c>
      <c r="S596" s="1" t="str">
        <f t="shared" si="16"/>
        <v>12 a 15 dias</v>
      </c>
      <c r="T596" s="8" t="s">
        <v>27</v>
      </c>
      <c r="U596" s="17"/>
      <c r="V596" t="s">
        <v>202</v>
      </c>
    </row>
    <row r="597" spans="1:22" x14ac:dyDescent="0.3">
      <c r="A597" t="str">
        <f t="shared" si="17"/>
        <v>DSP 15</v>
      </c>
      <c r="B597" s="1" t="s">
        <v>381</v>
      </c>
      <c r="Q597" s="26">
        <v>0.05</v>
      </c>
      <c r="S597" s="1" t="str">
        <f t="shared" si="16"/>
        <v>12 a 15 dias</v>
      </c>
      <c r="T597" s="8" t="s">
        <v>27</v>
      </c>
      <c r="V597" t="s">
        <v>202</v>
      </c>
    </row>
    <row r="598" spans="1:22" x14ac:dyDescent="0.3">
      <c r="A598" t="str">
        <f t="shared" si="17"/>
        <v>DSP 15</v>
      </c>
      <c r="B598" s="1" t="s">
        <v>382</v>
      </c>
      <c r="Q598" s="26">
        <v>0.05</v>
      </c>
      <c r="S598" s="1" t="str">
        <f t="shared" si="16"/>
        <v>12 a 15 dias</v>
      </c>
      <c r="T598" s="8" t="s">
        <v>27</v>
      </c>
      <c r="V598" t="s">
        <v>202</v>
      </c>
    </row>
    <row r="599" spans="1:22" x14ac:dyDescent="0.3">
      <c r="A599" t="str">
        <f t="shared" si="17"/>
        <v>DSP 15</v>
      </c>
      <c r="B599" s="1" t="s">
        <v>383</v>
      </c>
      <c r="Q599" s="26">
        <v>0.05</v>
      </c>
      <c r="S599" s="1" t="str">
        <f t="shared" si="16"/>
        <v>12 a 15 dias</v>
      </c>
      <c r="T599" s="8" t="s">
        <v>27</v>
      </c>
      <c r="V599" t="s">
        <v>202</v>
      </c>
    </row>
    <row r="600" spans="1:22" x14ac:dyDescent="0.3">
      <c r="A600" t="str">
        <f t="shared" si="17"/>
        <v>DSP 15</v>
      </c>
      <c r="B600" s="1" t="s">
        <v>384</v>
      </c>
      <c r="Q600" s="26">
        <v>0.05</v>
      </c>
      <c r="S600" s="1" t="str">
        <f t="shared" si="16"/>
        <v>12 a 15 dias</v>
      </c>
      <c r="T600" s="8" t="s">
        <v>27</v>
      </c>
      <c r="V600" t="s">
        <v>202</v>
      </c>
    </row>
    <row r="601" spans="1:22" x14ac:dyDescent="0.3">
      <c r="A601" t="str">
        <f t="shared" si="17"/>
        <v>DSP 15</v>
      </c>
      <c r="B601" s="1" t="s">
        <v>385</v>
      </c>
      <c r="Q601" s="26">
        <v>0.05</v>
      </c>
      <c r="S601" s="1" t="str">
        <f t="shared" si="16"/>
        <v>12 a 15 dias</v>
      </c>
      <c r="T601" s="8" t="s">
        <v>27</v>
      </c>
      <c r="V601" t="s">
        <v>202</v>
      </c>
    </row>
    <row r="602" spans="1:22" x14ac:dyDescent="0.3">
      <c r="A602" t="str">
        <f t="shared" si="17"/>
        <v>DSP 15</v>
      </c>
      <c r="B602" s="1" t="s">
        <v>386</v>
      </c>
      <c r="Q602" s="26">
        <v>0.05</v>
      </c>
      <c r="S602" s="1" t="str">
        <f t="shared" si="16"/>
        <v>12 a 15 dias</v>
      </c>
      <c r="T602" s="8" t="s">
        <v>27</v>
      </c>
      <c r="V602" t="s">
        <v>202</v>
      </c>
    </row>
    <row r="603" spans="1:22" x14ac:dyDescent="0.3">
      <c r="A603" t="str">
        <f t="shared" si="17"/>
        <v>DSP 15</v>
      </c>
      <c r="B603" s="1" t="s">
        <v>387</v>
      </c>
      <c r="Q603" s="26">
        <v>0.05</v>
      </c>
      <c r="S603" s="1" t="str">
        <f t="shared" si="16"/>
        <v>12 a 15 dias</v>
      </c>
      <c r="T603" s="8" t="s">
        <v>27</v>
      </c>
      <c r="V603" t="s">
        <v>202</v>
      </c>
    </row>
    <row r="604" spans="1:22" x14ac:dyDescent="0.3">
      <c r="A604" t="str">
        <f t="shared" si="17"/>
        <v>DSP 15</v>
      </c>
      <c r="B604" s="1" t="s">
        <v>388</v>
      </c>
      <c r="Q604" s="26">
        <v>0.05</v>
      </c>
      <c r="S604" s="1" t="str">
        <f t="shared" si="16"/>
        <v>12 a 15 dias</v>
      </c>
      <c r="T604" s="8" t="s">
        <v>27</v>
      </c>
      <c r="V604" t="s">
        <v>202</v>
      </c>
    </row>
    <row r="605" spans="1:22" x14ac:dyDescent="0.3">
      <c r="A605" t="str">
        <f t="shared" si="17"/>
        <v>DSP 15</v>
      </c>
      <c r="B605" s="1" t="s">
        <v>389</v>
      </c>
      <c r="Q605" s="26">
        <v>0.05</v>
      </c>
      <c r="S605" s="1" t="str">
        <f t="shared" si="16"/>
        <v>12 a 15 dias</v>
      </c>
      <c r="T605" s="8" t="s">
        <v>27</v>
      </c>
      <c r="V605" t="s">
        <v>202</v>
      </c>
    </row>
    <row r="606" spans="1:22" x14ac:dyDescent="0.3">
      <c r="A606" t="str">
        <f t="shared" si="17"/>
        <v>DSP 15</v>
      </c>
      <c r="B606" s="1" t="s">
        <v>390</v>
      </c>
      <c r="Q606" s="26">
        <v>0.05</v>
      </c>
      <c r="S606" s="1" t="str">
        <f t="shared" si="16"/>
        <v>12 a 15 dias</v>
      </c>
      <c r="T606" s="8" t="s">
        <v>27</v>
      </c>
      <c r="V606" t="s">
        <v>202</v>
      </c>
    </row>
    <row r="607" spans="1:22" x14ac:dyDescent="0.3">
      <c r="A607" t="str">
        <f t="shared" si="17"/>
        <v>DSP 15</v>
      </c>
      <c r="B607" s="1" t="s">
        <v>391</v>
      </c>
      <c r="C607" s="6">
        <v>1391</v>
      </c>
      <c r="Q607" s="26">
        <v>0.05</v>
      </c>
      <c r="S607" s="1" t="str">
        <f t="shared" ref="S607:S665" si="18">"12 a 15 dias"</f>
        <v>12 a 15 dias</v>
      </c>
      <c r="T607" s="8" t="s">
        <v>27</v>
      </c>
      <c r="U607" s="17"/>
      <c r="V607" t="s">
        <v>202</v>
      </c>
    </row>
    <row r="608" spans="1:22" x14ac:dyDescent="0.3">
      <c r="A608" t="str">
        <f t="shared" si="17"/>
        <v>DSP 15</v>
      </c>
      <c r="B608" s="1" t="s">
        <v>392</v>
      </c>
      <c r="Q608" s="26">
        <v>0.05</v>
      </c>
      <c r="S608" s="1" t="str">
        <f t="shared" si="18"/>
        <v>12 a 15 dias</v>
      </c>
      <c r="T608" s="8" t="s">
        <v>27</v>
      </c>
      <c r="V608" t="s">
        <v>202</v>
      </c>
    </row>
    <row r="609" spans="1:22" x14ac:dyDescent="0.3">
      <c r="A609" t="str">
        <f t="shared" si="17"/>
        <v>DSP 15</v>
      </c>
      <c r="B609" s="1" t="s">
        <v>393</v>
      </c>
      <c r="Q609" s="26">
        <v>0.05</v>
      </c>
      <c r="S609" s="1" t="str">
        <f t="shared" si="18"/>
        <v>12 a 15 dias</v>
      </c>
      <c r="T609" s="8" t="s">
        <v>27</v>
      </c>
      <c r="V609" t="s">
        <v>202</v>
      </c>
    </row>
    <row r="610" spans="1:22" x14ac:dyDescent="0.3">
      <c r="A610" t="str">
        <f t="shared" si="17"/>
        <v>DSP 15</v>
      </c>
      <c r="B610" s="1" t="s">
        <v>394</v>
      </c>
      <c r="Q610" s="26">
        <v>0.05</v>
      </c>
      <c r="S610" s="1" t="str">
        <f t="shared" si="18"/>
        <v>12 a 15 dias</v>
      </c>
      <c r="T610" s="8" t="s">
        <v>27</v>
      </c>
      <c r="V610" t="s">
        <v>202</v>
      </c>
    </row>
    <row r="611" spans="1:22" x14ac:dyDescent="0.3">
      <c r="A611" t="str">
        <f t="shared" si="17"/>
        <v>DSP 15</v>
      </c>
      <c r="B611" s="1" t="s">
        <v>395</v>
      </c>
      <c r="Q611" s="26">
        <v>0.05</v>
      </c>
      <c r="S611" s="1" t="str">
        <f t="shared" si="18"/>
        <v>12 a 15 dias</v>
      </c>
      <c r="T611" s="8" t="s">
        <v>27</v>
      </c>
      <c r="V611" t="s">
        <v>202</v>
      </c>
    </row>
    <row r="612" spans="1:22" x14ac:dyDescent="0.3">
      <c r="A612" t="str">
        <f t="shared" si="17"/>
        <v>DSP 15</v>
      </c>
      <c r="B612" s="1" t="s">
        <v>396</v>
      </c>
      <c r="Q612" s="26">
        <v>0.05</v>
      </c>
      <c r="S612" s="1" t="str">
        <f t="shared" si="18"/>
        <v>12 a 15 dias</v>
      </c>
      <c r="T612" s="8" t="s">
        <v>27</v>
      </c>
      <c r="V612" t="s">
        <v>202</v>
      </c>
    </row>
    <row r="613" spans="1:22" x14ac:dyDescent="0.3">
      <c r="A613" t="str">
        <f t="shared" si="17"/>
        <v>DSP 15</v>
      </c>
      <c r="B613" s="1" t="s">
        <v>397</v>
      </c>
      <c r="Q613" s="26">
        <v>0.05</v>
      </c>
      <c r="S613" s="1" t="str">
        <f t="shared" si="18"/>
        <v>12 a 15 dias</v>
      </c>
      <c r="T613" s="8" t="s">
        <v>27</v>
      </c>
      <c r="V613" t="s">
        <v>202</v>
      </c>
    </row>
    <row r="614" spans="1:22" x14ac:dyDescent="0.3">
      <c r="A614" t="str">
        <f t="shared" si="17"/>
        <v>DSP 15</v>
      </c>
      <c r="B614" s="1" t="s">
        <v>398</v>
      </c>
      <c r="Q614" s="26">
        <v>0.05</v>
      </c>
      <c r="S614" s="1" t="str">
        <f t="shared" si="18"/>
        <v>12 a 15 dias</v>
      </c>
      <c r="T614" s="8" t="s">
        <v>27</v>
      </c>
      <c r="V614" t="s">
        <v>202</v>
      </c>
    </row>
    <row r="615" spans="1:22" x14ac:dyDescent="0.3">
      <c r="A615" t="str">
        <f t="shared" si="17"/>
        <v>DSP 15</v>
      </c>
      <c r="B615" s="1" t="s">
        <v>399</v>
      </c>
      <c r="Q615" s="26">
        <v>0.05</v>
      </c>
      <c r="S615" s="1" t="str">
        <f t="shared" si="18"/>
        <v>12 a 15 dias</v>
      </c>
      <c r="T615" s="8" t="s">
        <v>27</v>
      </c>
      <c r="V615" t="s">
        <v>202</v>
      </c>
    </row>
    <row r="616" spans="1:22" x14ac:dyDescent="0.3">
      <c r="A616" t="str">
        <f t="shared" si="17"/>
        <v>DSP 15</v>
      </c>
      <c r="B616" s="1" t="s">
        <v>400</v>
      </c>
      <c r="Q616" s="26">
        <v>0.05</v>
      </c>
      <c r="S616" s="1" t="str">
        <f t="shared" si="18"/>
        <v>12 a 15 dias</v>
      </c>
      <c r="T616" s="8" t="s">
        <v>27</v>
      </c>
      <c r="V616" t="s">
        <v>202</v>
      </c>
    </row>
    <row r="617" spans="1:22" x14ac:dyDescent="0.3">
      <c r="A617" t="str">
        <f t="shared" si="17"/>
        <v>DSP 15</v>
      </c>
      <c r="B617" s="1" t="s">
        <v>401</v>
      </c>
      <c r="Q617" s="26">
        <v>0.05</v>
      </c>
      <c r="S617" s="1" t="str">
        <f t="shared" si="18"/>
        <v>12 a 15 dias</v>
      </c>
      <c r="T617" s="8" t="s">
        <v>27</v>
      </c>
      <c r="V617" t="s">
        <v>202</v>
      </c>
    </row>
    <row r="618" spans="1:22" x14ac:dyDescent="0.3">
      <c r="A618" t="str">
        <f t="shared" si="17"/>
        <v>DSP 15</v>
      </c>
      <c r="B618" s="1" t="s">
        <v>402</v>
      </c>
      <c r="Q618" s="26">
        <v>0.05</v>
      </c>
      <c r="S618" s="1" t="str">
        <f t="shared" si="18"/>
        <v>12 a 15 dias</v>
      </c>
      <c r="T618" s="8" t="s">
        <v>27</v>
      </c>
      <c r="V618" t="s">
        <v>202</v>
      </c>
    </row>
    <row r="619" spans="1:22" x14ac:dyDescent="0.3">
      <c r="A619" t="str">
        <f t="shared" si="17"/>
        <v>DSP 15</v>
      </c>
      <c r="B619" s="1" t="s">
        <v>403</v>
      </c>
      <c r="C619" s="6">
        <v>1362</v>
      </c>
      <c r="Q619" s="26">
        <v>0.05</v>
      </c>
      <c r="S619" s="1" t="str">
        <f t="shared" si="18"/>
        <v>12 a 15 dias</v>
      </c>
      <c r="T619" s="8" t="s">
        <v>27</v>
      </c>
      <c r="U619" s="17"/>
      <c r="V619" t="s">
        <v>202</v>
      </c>
    </row>
    <row r="620" spans="1:22" x14ac:dyDescent="0.3">
      <c r="A620" t="str">
        <f t="shared" si="17"/>
        <v>DSP 15</v>
      </c>
      <c r="B620" s="1" t="s">
        <v>404</v>
      </c>
      <c r="C620" s="6">
        <v>1443</v>
      </c>
      <c r="Q620" s="26">
        <v>0.05</v>
      </c>
      <c r="S620" s="1" t="str">
        <f t="shared" si="18"/>
        <v>12 a 15 dias</v>
      </c>
      <c r="T620" s="8" t="s">
        <v>27</v>
      </c>
      <c r="U620" s="17"/>
      <c r="V620" t="s">
        <v>202</v>
      </c>
    </row>
    <row r="621" spans="1:22" x14ac:dyDescent="0.3">
      <c r="A621" t="str">
        <f t="shared" si="17"/>
        <v>DSP 15</v>
      </c>
      <c r="B621" s="1" t="s">
        <v>405</v>
      </c>
      <c r="Q621" s="26">
        <v>0.05</v>
      </c>
      <c r="S621" s="1" t="str">
        <f t="shared" si="18"/>
        <v>12 a 15 dias</v>
      </c>
      <c r="T621" s="8" t="s">
        <v>27</v>
      </c>
      <c r="V621" t="s">
        <v>202</v>
      </c>
    </row>
    <row r="622" spans="1:22" x14ac:dyDescent="0.3">
      <c r="A622" t="str">
        <f t="shared" si="17"/>
        <v>DSP 15</v>
      </c>
      <c r="B622" s="1" t="s">
        <v>406</v>
      </c>
      <c r="C622" s="6">
        <v>1570</v>
      </c>
      <c r="Q622" s="26">
        <v>0.05</v>
      </c>
      <c r="S622" s="1" t="str">
        <f t="shared" si="18"/>
        <v>12 a 15 dias</v>
      </c>
      <c r="T622" s="8" t="s">
        <v>27</v>
      </c>
      <c r="U622" s="17"/>
      <c r="V622" t="s">
        <v>202</v>
      </c>
    </row>
    <row r="623" spans="1:22" x14ac:dyDescent="0.3">
      <c r="A623" t="str">
        <f t="shared" si="17"/>
        <v>DSP 15</v>
      </c>
      <c r="B623" s="1" t="s">
        <v>407</v>
      </c>
      <c r="Q623" s="26">
        <v>0.05</v>
      </c>
      <c r="S623" s="1" t="str">
        <f t="shared" si="18"/>
        <v>12 a 15 dias</v>
      </c>
      <c r="T623" s="8" t="s">
        <v>27</v>
      </c>
      <c r="V623" t="s">
        <v>202</v>
      </c>
    </row>
    <row r="624" spans="1:22" x14ac:dyDescent="0.3">
      <c r="A624" t="str">
        <f t="shared" si="17"/>
        <v>DSP 15</v>
      </c>
      <c r="B624" s="1" t="s">
        <v>407</v>
      </c>
      <c r="Q624" s="26">
        <v>0.05</v>
      </c>
      <c r="S624" s="1" t="str">
        <f t="shared" si="18"/>
        <v>12 a 15 dias</v>
      </c>
      <c r="T624" s="8" t="s">
        <v>27</v>
      </c>
      <c r="V624" t="s">
        <v>202</v>
      </c>
    </row>
    <row r="625" spans="1:22" x14ac:dyDescent="0.3">
      <c r="A625" t="str">
        <f t="shared" si="17"/>
        <v>DSP 15</v>
      </c>
      <c r="B625" s="1" t="s">
        <v>408</v>
      </c>
      <c r="Q625" s="26">
        <v>0.05</v>
      </c>
      <c r="S625" s="1" t="str">
        <f t="shared" si="18"/>
        <v>12 a 15 dias</v>
      </c>
      <c r="T625" s="8" t="s">
        <v>27</v>
      </c>
      <c r="V625" t="s">
        <v>202</v>
      </c>
    </row>
    <row r="626" spans="1:22" x14ac:dyDescent="0.3">
      <c r="A626" t="str">
        <f t="shared" si="17"/>
        <v>DSP 15</v>
      </c>
      <c r="B626" s="1" t="s">
        <v>409</v>
      </c>
      <c r="Q626" s="26">
        <v>0.05</v>
      </c>
      <c r="S626" s="1" t="str">
        <f t="shared" si="18"/>
        <v>12 a 15 dias</v>
      </c>
      <c r="T626" s="8" t="s">
        <v>27</v>
      </c>
      <c r="V626" t="s">
        <v>202</v>
      </c>
    </row>
    <row r="627" spans="1:22" x14ac:dyDescent="0.3">
      <c r="A627" t="str">
        <f t="shared" si="17"/>
        <v>DSP 15</v>
      </c>
      <c r="B627" s="1" t="s">
        <v>410</v>
      </c>
      <c r="Q627" s="26">
        <v>0.05</v>
      </c>
      <c r="S627" s="1" t="str">
        <f t="shared" si="18"/>
        <v>12 a 15 dias</v>
      </c>
      <c r="T627" s="8" t="s">
        <v>27</v>
      </c>
      <c r="V627" t="s">
        <v>202</v>
      </c>
    </row>
    <row r="628" spans="1:22" x14ac:dyDescent="0.3">
      <c r="A628" t="str">
        <f t="shared" si="17"/>
        <v>DSP 15</v>
      </c>
      <c r="B628" s="1" t="s">
        <v>411</v>
      </c>
      <c r="Q628" s="26">
        <v>0.05</v>
      </c>
      <c r="S628" s="1" t="str">
        <f t="shared" si="18"/>
        <v>12 a 15 dias</v>
      </c>
      <c r="T628" s="8" t="s">
        <v>27</v>
      </c>
      <c r="V628" t="s">
        <v>202</v>
      </c>
    </row>
    <row r="629" spans="1:22" x14ac:dyDescent="0.3">
      <c r="A629" t="str">
        <f t="shared" si="17"/>
        <v>DSP 15</v>
      </c>
      <c r="B629" s="1" t="s">
        <v>412</v>
      </c>
      <c r="Q629" s="26">
        <v>0.05</v>
      </c>
      <c r="S629" s="1" t="str">
        <f t="shared" si="18"/>
        <v>12 a 15 dias</v>
      </c>
      <c r="T629" s="8" t="s">
        <v>27</v>
      </c>
      <c r="V629" t="s">
        <v>202</v>
      </c>
    </row>
    <row r="630" spans="1:22" x14ac:dyDescent="0.3">
      <c r="A630" t="str">
        <f t="shared" si="17"/>
        <v>DSP 15</v>
      </c>
      <c r="B630" s="1" t="s">
        <v>413</v>
      </c>
      <c r="Q630" s="26">
        <v>0.05</v>
      </c>
      <c r="S630" s="1" t="str">
        <f t="shared" si="18"/>
        <v>12 a 15 dias</v>
      </c>
      <c r="T630" s="8" t="s">
        <v>27</v>
      </c>
      <c r="V630" t="s">
        <v>202</v>
      </c>
    </row>
    <row r="631" spans="1:22" x14ac:dyDescent="0.3">
      <c r="A631" t="str">
        <f t="shared" si="17"/>
        <v>DSP 15</v>
      </c>
      <c r="B631" s="1" t="s">
        <v>414</v>
      </c>
      <c r="Q631" s="26">
        <v>0.05</v>
      </c>
      <c r="S631" s="1" t="str">
        <f t="shared" si="18"/>
        <v>12 a 15 dias</v>
      </c>
      <c r="T631" s="8" t="s">
        <v>27</v>
      </c>
      <c r="V631" t="s">
        <v>202</v>
      </c>
    </row>
    <row r="632" spans="1:22" x14ac:dyDescent="0.3">
      <c r="A632" t="str">
        <f t="shared" si="17"/>
        <v>DSP 15</v>
      </c>
      <c r="B632" s="1" t="s">
        <v>415</v>
      </c>
      <c r="Q632" s="26">
        <v>0.05</v>
      </c>
      <c r="S632" s="1" t="str">
        <f t="shared" si="18"/>
        <v>12 a 15 dias</v>
      </c>
      <c r="T632" s="8" t="s">
        <v>27</v>
      </c>
      <c r="V632" t="s">
        <v>202</v>
      </c>
    </row>
    <row r="633" spans="1:22" x14ac:dyDescent="0.3">
      <c r="A633" t="str">
        <f t="shared" si="17"/>
        <v>DSP 15</v>
      </c>
      <c r="B633" s="1" t="s">
        <v>416</v>
      </c>
      <c r="Q633" s="26">
        <v>0.05</v>
      </c>
      <c r="S633" s="1" t="str">
        <f t="shared" si="18"/>
        <v>12 a 15 dias</v>
      </c>
      <c r="T633" s="8" t="s">
        <v>27</v>
      </c>
      <c r="V633" t="s">
        <v>202</v>
      </c>
    </row>
    <row r="634" spans="1:22" x14ac:dyDescent="0.3">
      <c r="A634" t="str">
        <f t="shared" si="17"/>
        <v>DSP 15</v>
      </c>
      <c r="B634" s="1" t="s">
        <v>417</v>
      </c>
      <c r="Q634" s="26">
        <v>0.05</v>
      </c>
      <c r="S634" s="1" t="str">
        <f t="shared" si="18"/>
        <v>12 a 15 dias</v>
      </c>
      <c r="T634" s="8" t="s">
        <v>27</v>
      </c>
      <c r="V634" t="s">
        <v>202</v>
      </c>
    </row>
    <row r="635" spans="1:22" x14ac:dyDescent="0.3">
      <c r="A635" t="str">
        <f t="shared" si="17"/>
        <v>DSP 15</v>
      </c>
      <c r="B635" s="1" t="s">
        <v>418</v>
      </c>
      <c r="Q635" s="26">
        <v>0.05</v>
      </c>
      <c r="S635" s="1" t="str">
        <f t="shared" si="18"/>
        <v>12 a 15 dias</v>
      </c>
      <c r="T635" s="8" t="s">
        <v>27</v>
      </c>
      <c r="V635" t="s">
        <v>202</v>
      </c>
    </row>
    <row r="636" spans="1:22" x14ac:dyDescent="0.3">
      <c r="A636" t="str">
        <f t="shared" si="17"/>
        <v>DSP 15</v>
      </c>
      <c r="B636" s="1" t="s">
        <v>419</v>
      </c>
      <c r="Q636" s="26">
        <v>0.05</v>
      </c>
      <c r="S636" s="1" t="str">
        <f t="shared" si="18"/>
        <v>12 a 15 dias</v>
      </c>
      <c r="T636" s="8" t="s">
        <v>27</v>
      </c>
      <c r="V636" t="s">
        <v>202</v>
      </c>
    </row>
    <row r="637" spans="1:22" x14ac:dyDescent="0.3">
      <c r="A637" t="str">
        <f t="shared" si="17"/>
        <v>DSP 15</v>
      </c>
      <c r="B637" s="1" t="s">
        <v>420</v>
      </c>
      <c r="Q637" s="26">
        <v>0.05</v>
      </c>
      <c r="S637" s="1" t="str">
        <f t="shared" si="18"/>
        <v>12 a 15 dias</v>
      </c>
      <c r="T637" s="8" t="s">
        <v>27</v>
      </c>
      <c r="V637" t="s">
        <v>202</v>
      </c>
    </row>
    <row r="638" spans="1:22" x14ac:dyDescent="0.3">
      <c r="A638" t="str">
        <f t="shared" si="17"/>
        <v>DSP 15</v>
      </c>
      <c r="B638" s="1" t="s">
        <v>421</v>
      </c>
      <c r="Q638" s="26">
        <v>0.05</v>
      </c>
      <c r="S638" s="1" t="str">
        <f t="shared" si="18"/>
        <v>12 a 15 dias</v>
      </c>
      <c r="T638" s="8" t="s">
        <v>27</v>
      </c>
      <c r="V638" t="s">
        <v>202</v>
      </c>
    </row>
    <row r="639" spans="1:22" x14ac:dyDescent="0.3">
      <c r="A639" t="str">
        <f t="shared" si="17"/>
        <v>DSP 15</v>
      </c>
      <c r="B639" s="1" t="s">
        <v>422</v>
      </c>
      <c r="Q639" s="26">
        <v>0.05</v>
      </c>
      <c r="S639" s="1" t="str">
        <f t="shared" si="18"/>
        <v>12 a 15 dias</v>
      </c>
      <c r="T639" s="8" t="s">
        <v>27</v>
      </c>
      <c r="V639" t="s">
        <v>202</v>
      </c>
    </row>
    <row r="640" spans="1:22" x14ac:dyDescent="0.3">
      <c r="A640" t="str">
        <f t="shared" si="17"/>
        <v>DSP 15</v>
      </c>
      <c r="B640" s="1" t="s">
        <v>423</v>
      </c>
      <c r="Q640" s="26">
        <v>0.05</v>
      </c>
      <c r="S640" s="1" t="str">
        <f t="shared" si="18"/>
        <v>12 a 15 dias</v>
      </c>
      <c r="T640" s="8" t="s">
        <v>27</v>
      </c>
      <c r="V640" t="s">
        <v>202</v>
      </c>
    </row>
    <row r="641" spans="1:22" x14ac:dyDescent="0.3">
      <c r="A641" t="str">
        <f t="shared" si="17"/>
        <v>DSP 15</v>
      </c>
      <c r="B641" s="1" t="s">
        <v>424</v>
      </c>
      <c r="Q641" s="26">
        <v>0.05</v>
      </c>
      <c r="S641" s="1" t="str">
        <f t="shared" si="18"/>
        <v>12 a 15 dias</v>
      </c>
      <c r="T641" s="8" t="s">
        <v>27</v>
      </c>
      <c r="V641" t="s">
        <v>202</v>
      </c>
    </row>
    <row r="642" spans="1:22" x14ac:dyDescent="0.3">
      <c r="A642" t="str">
        <f t="shared" si="17"/>
        <v>DSP 15</v>
      </c>
      <c r="B642" s="1" t="s">
        <v>425</v>
      </c>
      <c r="Q642" s="26">
        <v>0.05</v>
      </c>
      <c r="S642" s="1" t="str">
        <f t="shared" si="18"/>
        <v>12 a 15 dias</v>
      </c>
      <c r="T642" s="8" t="s">
        <v>27</v>
      </c>
      <c r="V642" t="s">
        <v>202</v>
      </c>
    </row>
    <row r="643" spans="1:22" x14ac:dyDescent="0.3">
      <c r="A643" t="str">
        <f t="shared" si="17"/>
        <v>DSP 15</v>
      </c>
      <c r="B643" s="1" t="s">
        <v>426</v>
      </c>
      <c r="Q643" s="26">
        <v>0.05</v>
      </c>
      <c r="S643" s="1" t="str">
        <f t="shared" si="18"/>
        <v>12 a 15 dias</v>
      </c>
      <c r="T643" s="8" t="s">
        <v>27</v>
      </c>
      <c r="V643" t="s">
        <v>202</v>
      </c>
    </row>
    <row r="644" spans="1:22" x14ac:dyDescent="0.3">
      <c r="A644" t="str">
        <f t="shared" si="17"/>
        <v>DSP 15</v>
      </c>
      <c r="B644" s="1" t="s">
        <v>427</v>
      </c>
      <c r="C644" s="6">
        <v>1229</v>
      </c>
      <c r="Q644" s="26">
        <v>0.05</v>
      </c>
      <c r="S644" s="1" t="str">
        <f t="shared" si="18"/>
        <v>12 a 15 dias</v>
      </c>
      <c r="T644" s="8" t="s">
        <v>27</v>
      </c>
      <c r="U644" s="17">
        <v>45049</v>
      </c>
      <c r="V644" t="s">
        <v>202</v>
      </c>
    </row>
    <row r="645" spans="1:22" x14ac:dyDescent="0.3">
      <c r="A645" t="str">
        <f t="shared" si="17"/>
        <v>DSP 15</v>
      </c>
      <c r="B645" s="1" t="s">
        <v>428</v>
      </c>
      <c r="Q645" s="26">
        <v>0.05</v>
      </c>
      <c r="S645" s="1" t="str">
        <f t="shared" si="18"/>
        <v>12 a 15 dias</v>
      </c>
      <c r="T645" s="8" t="s">
        <v>27</v>
      </c>
      <c r="V645" t="s">
        <v>202</v>
      </c>
    </row>
    <row r="646" spans="1:22" x14ac:dyDescent="0.3">
      <c r="A646" t="str">
        <f t="shared" si="17"/>
        <v>DSP 15</v>
      </c>
      <c r="B646" s="1" t="s">
        <v>429</v>
      </c>
      <c r="Q646" s="26">
        <v>0.05</v>
      </c>
      <c r="S646" s="1" t="str">
        <f t="shared" si="18"/>
        <v>12 a 15 dias</v>
      </c>
      <c r="T646" s="8" t="s">
        <v>27</v>
      </c>
      <c r="V646" t="s">
        <v>202</v>
      </c>
    </row>
    <row r="647" spans="1:22" x14ac:dyDescent="0.3">
      <c r="A647" t="str">
        <f t="shared" si="17"/>
        <v>DSP 15</v>
      </c>
      <c r="B647" s="1" t="s">
        <v>430</v>
      </c>
      <c r="Q647" s="26">
        <v>0.05</v>
      </c>
      <c r="S647" s="1" t="str">
        <f t="shared" si="18"/>
        <v>12 a 15 dias</v>
      </c>
      <c r="T647" s="8" t="s">
        <v>27</v>
      </c>
      <c r="V647" t="s">
        <v>202</v>
      </c>
    </row>
    <row r="648" spans="1:22" x14ac:dyDescent="0.3">
      <c r="A648" t="str">
        <f t="shared" si="17"/>
        <v>DSP 15</v>
      </c>
      <c r="B648" s="1" t="s">
        <v>431</v>
      </c>
      <c r="Q648" s="26">
        <v>0.05</v>
      </c>
      <c r="S648" s="1" t="str">
        <f t="shared" si="18"/>
        <v>12 a 15 dias</v>
      </c>
      <c r="T648" s="8" t="s">
        <v>27</v>
      </c>
      <c r="V648" t="s">
        <v>202</v>
      </c>
    </row>
    <row r="649" spans="1:22" x14ac:dyDescent="0.3">
      <c r="A649" t="str">
        <f t="shared" si="17"/>
        <v>DSP 15</v>
      </c>
      <c r="B649" s="1" t="s">
        <v>432</v>
      </c>
      <c r="Q649" s="26">
        <v>0.05</v>
      </c>
      <c r="S649" s="1" t="str">
        <f t="shared" si="18"/>
        <v>12 a 15 dias</v>
      </c>
      <c r="T649" s="8" t="s">
        <v>27</v>
      </c>
      <c r="V649" t="s">
        <v>202</v>
      </c>
    </row>
    <row r="650" spans="1:22" x14ac:dyDescent="0.3">
      <c r="A650" t="str">
        <f t="shared" si="17"/>
        <v>DSP 15</v>
      </c>
      <c r="B650" s="1" t="s">
        <v>433</v>
      </c>
      <c r="C650" s="6">
        <v>738</v>
      </c>
      <c r="Q650" s="26">
        <v>0.05</v>
      </c>
      <c r="S650" s="1" t="str">
        <f t="shared" si="18"/>
        <v>12 a 15 dias</v>
      </c>
      <c r="T650" s="8" t="s">
        <v>27</v>
      </c>
      <c r="U650" s="17">
        <v>44965</v>
      </c>
      <c r="V650" t="s">
        <v>202</v>
      </c>
    </row>
    <row r="651" spans="1:22" x14ac:dyDescent="0.3">
      <c r="A651" t="str">
        <f t="shared" si="17"/>
        <v>DSP 15</v>
      </c>
      <c r="B651" s="1" t="s">
        <v>434</v>
      </c>
      <c r="Q651" s="26">
        <v>0.05</v>
      </c>
      <c r="S651" s="1" t="str">
        <f t="shared" si="18"/>
        <v>12 a 15 dias</v>
      </c>
      <c r="T651" s="8" t="s">
        <v>27</v>
      </c>
      <c r="V651" t="s">
        <v>202</v>
      </c>
    </row>
    <row r="652" spans="1:22" x14ac:dyDescent="0.3">
      <c r="A652" t="str">
        <f t="shared" si="17"/>
        <v>DSP 15</v>
      </c>
      <c r="B652" s="1" t="s">
        <v>435</v>
      </c>
      <c r="Q652" s="26">
        <v>0.05</v>
      </c>
      <c r="S652" s="1" t="str">
        <f t="shared" si="18"/>
        <v>12 a 15 dias</v>
      </c>
      <c r="T652" s="8" t="s">
        <v>27</v>
      </c>
      <c r="V652" t="s">
        <v>202</v>
      </c>
    </row>
    <row r="653" spans="1:22" x14ac:dyDescent="0.3">
      <c r="A653" t="str">
        <f t="shared" si="17"/>
        <v>DSP 15</v>
      </c>
      <c r="B653" s="1" t="s">
        <v>436</v>
      </c>
      <c r="Q653" s="26">
        <v>0.05</v>
      </c>
      <c r="S653" s="1" t="str">
        <f t="shared" si="18"/>
        <v>12 a 15 dias</v>
      </c>
      <c r="T653" s="8" t="s">
        <v>27</v>
      </c>
      <c r="V653" t="s">
        <v>202</v>
      </c>
    </row>
    <row r="654" spans="1:22" x14ac:dyDescent="0.3">
      <c r="A654" t="str">
        <f t="shared" si="17"/>
        <v>DSP 15</v>
      </c>
      <c r="B654" s="1" t="s">
        <v>437</v>
      </c>
      <c r="Q654" s="26">
        <v>0.05</v>
      </c>
      <c r="S654" s="1" t="str">
        <f t="shared" si="18"/>
        <v>12 a 15 dias</v>
      </c>
      <c r="T654" s="8" t="s">
        <v>27</v>
      </c>
      <c r="V654" t="s">
        <v>202</v>
      </c>
    </row>
    <row r="655" spans="1:22" x14ac:dyDescent="0.3">
      <c r="A655" t="str">
        <f t="shared" si="17"/>
        <v>DSP 15</v>
      </c>
      <c r="B655" s="1" t="s">
        <v>438</v>
      </c>
      <c r="Q655" s="26">
        <v>0.05</v>
      </c>
      <c r="S655" s="1" t="str">
        <f t="shared" si="18"/>
        <v>12 a 15 dias</v>
      </c>
      <c r="T655" s="8" t="s">
        <v>27</v>
      </c>
      <c r="V655" t="s">
        <v>202</v>
      </c>
    </row>
    <row r="656" spans="1:22" x14ac:dyDescent="0.3">
      <c r="A656" t="str">
        <f t="shared" ref="A656:A665" si="19">"DSP 15"</f>
        <v>DSP 15</v>
      </c>
      <c r="B656" s="1" t="s">
        <v>439</v>
      </c>
      <c r="Q656" s="26">
        <v>0.05</v>
      </c>
      <c r="S656" s="1" t="str">
        <f t="shared" si="18"/>
        <v>12 a 15 dias</v>
      </c>
      <c r="T656" s="8" t="s">
        <v>27</v>
      </c>
      <c r="V656" t="s">
        <v>202</v>
      </c>
    </row>
    <row r="657" spans="1:22" x14ac:dyDescent="0.3">
      <c r="A657" t="str">
        <f t="shared" si="19"/>
        <v>DSP 15</v>
      </c>
      <c r="B657" s="1" t="s">
        <v>440</v>
      </c>
      <c r="Q657" s="26">
        <v>0.05</v>
      </c>
      <c r="S657" s="1" t="str">
        <f t="shared" si="18"/>
        <v>12 a 15 dias</v>
      </c>
      <c r="T657" s="8" t="s">
        <v>27</v>
      </c>
      <c r="V657" t="s">
        <v>202</v>
      </c>
    </row>
    <row r="658" spans="1:22" x14ac:dyDescent="0.3">
      <c r="A658" t="str">
        <f t="shared" si="19"/>
        <v>DSP 15</v>
      </c>
      <c r="B658" s="1" t="s">
        <v>441</v>
      </c>
      <c r="Q658" s="26">
        <v>0.05</v>
      </c>
      <c r="S658" s="1" t="str">
        <f t="shared" si="18"/>
        <v>12 a 15 dias</v>
      </c>
      <c r="T658" s="8" t="s">
        <v>27</v>
      </c>
      <c r="V658" t="s">
        <v>202</v>
      </c>
    </row>
    <row r="659" spans="1:22" x14ac:dyDescent="0.3">
      <c r="A659" t="str">
        <f t="shared" si="19"/>
        <v>DSP 15</v>
      </c>
      <c r="B659" s="1" t="s">
        <v>442</v>
      </c>
      <c r="Q659" s="26">
        <v>0.05</v>
      </c>
      <c r="S659" s="1" t="str">
        <f t="shared" si="18"/>
        <v>12 a 15 dias</v>
      </c>
      <c r="T659" s="8" t="s">
        <v>27</v>
      </c>
      <c r="V659" t="s">
        <v>202</v>
      </c>
    </row>
    <row r="660" spans="1:22" x14ac:dyDescent="0.3">
      <c r="A660" t="str">
        <f t="shared" si="19"/>
        <v>DSP 15</v>
      </c>
      <c r="B660" s="1" t="s">
        <v>443</v>
      </c>
      <c r="Q660" s="26">
        <v>0.05</v>
      </c>
      <c r="S660" s="1" t="str">
        <f t="shared" si="18"/>
        <v>12 a 15 dias</v>
      </c>
      <c r="T660" s="8" t="s">
        <v>27</v>
      </c>
      <c r="V660" t="s">
        <v>202</v>
      </c>
    </row>
    <row r="661" spans="1:22" x14ac:dyDescent="0.3">
      <c r="A661" t="str">
        <f t="shared" si="19"/>
        <v>DSP 15</v>
      </c>
      <c r="B661" s="1" t="s">
        <v>444</v>
      </c>
      <c r="Q661" s="26">
        <v>0.05</v>
      </c>
      <c r="S661" s="1" t="str">
        <f t="shared" si="18"/>
        <v>12 a 15 dias</v>
      </c>
      <c r="T661" s="8" t="s">
        <v>27</v>
      </c>
      <c r="V661" t="s">
        <v>202</v>
      </c>
    </row>
    <row r="662" spans="1:22" x14ac:dyDescent="0.3">
      <c r="A662" t="str">
        <f t="shared" si="19"/>
        <v>DSP 15</v>
      </c>
      <c r="B662" s="1" t="s">
        <v>445</v>
      </c>
      <c r="Q662" s="26">
        <v>0.05</v>
      </c>
      <c r="S662" s="1" t="str">
        <f t="shared" si="18"/>
        <v>12 a 15 dias</v>
      </c>
      <c r="T662" s="8" t="s">
        <v>27</v>
      </c>
      <c r="V662" t="s">
        <v>202</v>
      </c>
    </row>
    <row r="663" spans="1:22" x14ac:dyDescent="0.3">
      <c r="A663" t="str">
        <f t="shared" si="19"/>
        <v>DSP 15</v>
      </c>
      <c r="B663" s="1" t="s">
        <v>446</v>
      </c>
      <c r="Q663" s="26">
        <v>0.05</v>
      </c>
      <c r="S663" s="1" t="str">
        <f t="shared" si="18"/>
        <v>12 a 15 dias</v>
      </c>
      <c r="T663" s="8" t="s">
        <v>27</v>
      </c>
      <c r="V663" t="s">
        <v>202</v>
      </c>
    </row>
    <row r="664" spans="1:22" x14ac:dyDescent="0.3">
      <c r="A664" t="str">
        <f t="shared" si="19"/>
        <v>DSP 15</v>
      </c>
      <c r="B664" s="1" t="s">
        <v>447</v>
      </c>
      <c r="Q664" s="26">
        <v>0.05</v>
      </c>
      <c r="S664" s="1" t="str">
        <f t="shared" si="18"/>
        <v>12 a 15 dias</v>
      </c>
      <c r="T664" s="8" t="s">
        <v>27</v>
      </c>
      <c r="V664" t="s">
        <v>202</v>
      </c>
    </row>
    <row r="665" spans="1:22" x14ac:dyDescent="0.3">
      <c r="A665" t="str">
        <f t="shared" si="19"/>
        <v>DSP 15</v>
      </c>
      <c r="B665" s="1" t="s">
        <v>532</v>
      </c>
      <c r="C665" s="6">
        <v>1477</v>
      </c>
      <c r="Q665" s="26">
        <v>0.05</v>
      </c>
      <c r="S665" s="1" t="str">
        <f t="shared" si="18"/>
        <v>12 a 15 dias</v>
      </c>
      <c r="T665" s="8" t="s">
        <v>27</v>
      </c>
      <c r="U665" s="17">
        <v>45050</v>
      </c>
      <c r="V665" t="s">
        <v>202</v>
      </c>
    </row>
    <row r="666" spans="1:22" x14ac:dyDescent="0.3">
      <c r="V666" t="s">
        <v>202</v>
      </c>
    </row>
  </sheetData>
  <mergeCells count="1">
    <mergeCell ref="B1:O1"/>
  </mergeCells>
  <phoneticPr fontId="3" type="noConversion"/>
  <conditionalFormatting sqref="U451:U472">
    <cfRule type="iconSet" priority="5">
      <iconSet iconSet="3Symbols">
        <cfvo type="percent" val="0"/>
        <cfvo type="formula" val="TODAY()-180"/>
        <cfvo type="formula" val="TODAY()-90"/>
      </iconSet>
    </cfRule>
    <cfRule type="iconSet" priority="6">
      <iconSet iconSet="3Symbols">
        <cfvo type="percent" val="0"/>
        <cfvo type="formula" val="TODAY()-180"/>
        <cfvo type="formula" val="TODAY()-90"/>
      </iconSet>
    </cfRule>
  </conditionalFormatting>
  <conditionalFormatting sqref="U474:U503">
    <cfRule type="iconSet" priority="3">
      <iconSet iconSet="3Symbols">
        <cfvo type="percent" val="0"/>
        <cfvo type="formula" val="TODAY()-180"/>
        <cfvo type="formula" val="TODAY()-90"/>
      </iconSet>
    </cfRule>
    <cfRule type="iconSet" priority="4">
      <iconSet iconSet="3Symbols">
        <cfvo type="percent" val="0"/>
        <cfvo type="formula" val="TODAY()-180"/>
        <cfvo type="formula" val="TODAY()-90"/>
      </iconSet>
    </cfRule>
  </conditionalFormatting>
  <conditionalFormatting sqref="U505:U520">
    <cfRule type="iconSet" priority="1">
      <iconSet iconSet="3Symbols">
        <cfvo type="percent" val="0"/>
        <cfvo type="formula" val="TODAY()-180"/>
        <cfvo type="formula" val="TODAY()-90"/>
      </iconSet>
    </cfRule>
    <cfRule type="iconSet" priority="2">
      <iconSet iconSet="3Symbols">
        <cfvo type="percent" val="0"/>
        <cfvo type="formula" val="TODAY()-180"/>
        <cfvo type="formula" val="TODAY()-90"/>
      </iconSet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511F-F646-49C2-9D59-2D809B17C620}">
  <dimension ref="A1:K175"/>
  <sheetViews>
    <sheetView workbookViewId="0">
      <selection activeCell="B1" sqref="B1"/>
    </sheetView>
  </sheetViews>
  <sheetFormatPr defaultRowHeight="14.4" x14ac:dyDescent="0.3"/>
  <cols>
    <col min="3" max="3" width="11.5546875" customWidth="1"/>
    <col min="5" max="5" width="9.33203125" bestFit="1" customWidth="1"/>
  </cols>
  <sheetData>
    <row r="1" spans="1:11" x14ac:dyDescent="0.3">
      <c r="A1" t="s">
        <v>200</v>
      </c>
      <c r="B1" s="1" t="s">
        <v>201</v>
      </c>
      <c r="C1" s="6">
        <v>102.63</v>
      </c>
      <c r="D1">
        <f>225*125</f>
        <v>28125</v>
      </c>
      <c r="E1">
        <f>C1/D1</f>
        <v>3.6490666666666666E-3</v>
      </c>
    </row>
    <row r="2" spans="1:11" x14ac:dyDescent="0.3">
      <c r="A2" t="s">
        <v>200</v>
      </c>
      <c r="B2" s="1" t="s">
        <v>204</v>
      </c>
      <c r="C2" s="10">
        <f>D2*E2</f>
        <v>108.87389333333334</v>
      </c>
      <c r="D2">
        <f>225*165</f>
        <v>37125</v>
      </c>
      <c r="E2">
        <f>((D2-D1)/(D3-D1)*(E3-E1))+E1</f>
        <v>2.9326301234567902E-3</v>
      </c>
    </row>
    <row r="3" spans="1:11" x14ac:dyDescent="0.3">
      <c r="A3" t="s">
        <v>200</v>
      </c>
      <c r="B3" s="1" t="s">
        <v>205</v>
      </c>
      <c r="C3" s="6">
        <v>94.06</v>
      </c>
      <c r="D3">
        <f>225*225</f>
        <v>50625</v>
      </c>
      <c r="E3">
        <f>C3/D3</f>
        <v>1.8579753086419752E-3</v>
      </c>
      <c r="H3" s="1"/>
      <c r="I3" s="6"/>
    </row>
    <row r="4" spans="1:11" x14ac:dyDescent="0.3">
      <c r="B4" s="1"/>
      <c r="C4" s="6"/>
      <c r="E4" s="27"/>
      <c r="H4" s="1"/>
      <c r="I4" s="6"/>
    </row>
    <row r="5" spans="1:11" x14ac:dyDescent="0.3">
      <c r="A5" t="s">
        <v>200</v>
      </c>
      <c r="B5" s="1" t="s">
        <v>206</v>
      </c>
      <c r="C5" s="6">
        <v>137.46</v>
      </c>
      <c r="D5">
        <f>325*125</f>
        <v>40625</v>
      </c>
      <c r="E5">
        <f>C5/D5</f>
        <v>3.3836307692307692E-3</v>
      </c>
      <c r="H5" s="1"/>
      <c r="I5" s="6"/>
      <c r="K5" s="27"/>
    </row>
    <row r="6" spans="1:11" x14ac:dyDescent="0.3">
      <c r="A6" t="s">
        <v>200</v>
      </c>
      <c r="B6" s="1" t="s">
        <v>207</v>
      </c>
      <c r="C6" s="6">
        <v>153</v>
      </c>
      <c r="D6">
        <f>325*165</f>
        <v>53625</v>
      </c>
      <c r="E6">
        <f t="shared" ref="E6:E7" si="0">C6/D6</f>
        <v>2.8531468531468531E-3</v>
      </c>
      <c r="H6" s="1"/>
      <c r="I6" s="6"/>
    </row>
    <row r="7" spans="1:11" x14ac:dyDescent="0.3">
      <c r="A7" t="s">
        <v>200</v>
      </c>
      <c r="B7" s="1" t="s">
        <v>208</v>
      </c>
      <c r="C7" s="6">
        <v>175</v>
      </c>
      <c r="D7">
        <f>325*225</f>
        <v>73125</v>
      </c>
      <c r="E7">
        <f t="shared" si="0"/>
        <v>2.3931623931623932E-3</v>
      </c>
      <c r="H7" s="1"/>
      <c r="I7" s="6"/>
    </row>
    <row r="8" spans="1:11" x14ac:dyDescent="0.3">
      <c r="A8" t="s">
        <v>200</v>
      </c>
      <c r="B8" s="1" t="s">
        <v>209</v>
      </c>
      <c r="C8" s="6">
        <v>244</v>
      </c>
      <c r="D8">
        <f>325*325</f>
        <v>105625</v>
      </c>
      <c r="E8">
        <f t="shared" ref="E8:E32" si="1">C8/D8</f>
        <v>2.310059171597633E-3</v>
      </c>
      <c r="H8" s="1"/>
      <c r="I8" s="6"/>
    </row>
    <row r="9" spans="1:11" x14ac:dyDescent="0.3">
      <c r="B9" s="1"/>
      <c r="C9" s="6"/>
      <c r="H9" s="1"/>
      <c r="I9" s="6"/>
    </row>
    <row r="10" spans="1:11" x14ac:dyDescent="0.3">
      <c r="A10" t="s">
        <v>200</v>
      </c>
      <c r="B10" s="1" t="s">
        <v>210</v>
      </c>
      <c r="C10" s="6">
        <v>153</v>
      </c>
      <c r="D10">
        <f>425*125</f>
        <v>53125</v>
      </c>
      <c r="E10">
        <f t="shared" si="1"/>
        <v>2.8800000000000002E-3</v>
      </c>
      <c r="H10" s="1"/>
      <c r="I10" s="6"/>
    </row>
    <row r="11" spans="1:11" x14ac:dyDescent="0.3">
      <c r="A11" t="s">
        <v>200</v>
      </c>
      <c r="B11" s="1" t="s">
        <v>211</v>
      </c>
      <c r="C11" s="6">
        <v>128.07</v>
      </c>
      <c r="D11">
        <f>425*165</f>
        <v>70125</v>
      </c>
      <c r="E11">
        <f>C11/D11</f>
        <v>1.8263101604278074E-3</v>
      </c>
      <c r="H11" s="1"/>
      <c r="I11" s="6"/>
    </row>
    <row r="12" spans="1:11" x14ac:dyDescent="0.3">
      <c r="A12" t="s">
        <v>200</v>
      </c>
      <c r="B12" s="1" t="s">
        <v>212</v>
      </c>
      <c r="C12" s="6">
        <v>207</v>
      </c>
      <c r="D12">
        <f>425*225</f>
        <v>95625</v>
      </c>
      <c r="E12">
        <f t="shared" si="1"/>
        <v>2.164705882352941E-3</v>
      </c>
      <c r="H12" s="1"/>
      <c r="I12" s="6"/>
    </row>
    <row r="13" spans="1:11" x14ac:dyDescent="0.3">
      <c r="A13" t="s">
        <v>200</v>
      </c>
      <c r="B13" s="1" t="s">
        <v>213</v>
      </c>
      <c r="C13" s="10">
        <f>D13*E13</f>
        <v>251.48882352941175</v>
      </c>
      <c r="D13">
        <f>425*325</f>
        <v>138125</v>
      </c>
      <c r="E13">
        <f>(D13-D12)/(D14-D12)*(E14-E12)+E12</f>
        <v>1.8207335640138408E-3</v>
      </c>
      <c r="H13" s="1"/>
      <c r="I13" s="6"/>
    </row>
    <row r="14" spans="1:11" x14ac:dyDescent="0.3">
      <c r="A14" t="s">
        <v>200</v>
      </c>
      <c r="B14" s="1" t="s">
        <v>214</v>
      </c>
      <c r="C14" s="6">
        <v>266.74</v>
      </c>
      <c r="D14">
        <f>425*425</f>
        <v>180625</v>
      </c>
      <c r="E14">
        <f t="shared" si="1"/>
        <v>1.4767612456747406E-3</v>
      </c>
      <c r="H14" s="1"/>
      <c r="I14" s="6"/>
    </row>
    <row r="15" spans="1:11" x14ac:dyDescent="0.3">
      <c r="B15" s="1"/>
      <c r="C15" s="6"/>
      <c r="H15" s="1"/>
      <c r="I15" s="6"/>
    </row>
    <row r="16" spans="1:11" x14ac:dyDescent="0.3">
      <c r="A16" t="s">
        <v>200</v>
      </c>
      <c r="B16" s="1" t="s">
        <v>215</v>
      </c>
      <c r="C16" s="6">
        <v>206.89</v>
      </c>
      <c r="D16">
        <f>525*125</f>
        <v>65625</v>
      </c>
      <c r="E16">
        <f t="shared" si="1"/>
        <v>3.1526095238095238E-3</v>
      </c>
      <c r="H16" s="1"/>
      <c r="I16" s="6"/>
    </row>
    <row r="17" spans="1:9" x14ac:dyDescent="0.3">
      <c r="A17" t="s">
        <v>200</v>
      </c>
      <c r="B17" s="1" t="s">
        <v>216</v>
      </c>
      <c r="C17" s="10">
        <f>E17*D17</f>
        <v>242.17687999999998</v>
      </c>
      <c r="D17">
        <f>525*165</f>
        <v>86625</v>
      </c>
      <c r="E17">
        <f>(D17-D16)/(D18-D16)*(E18-E16)+E16</f>
        <v>2.7956926984126981E-3</v>
      </c>
      <c r="H17" s="1"/>
      <c r="I17" s="6"/>
    </row>
    <row r="18" spans="1:9" x14ac:dyDescent="0.3">
      <c r="A18" t="s">
        <v>200</v>
      </c>
      <c r="B18" s="1" t="s">
        <v>217</v>
      </c>
      <c r="C18" s="6">
        <v>267</v>
      </c>
      <c r="D18">
        <f>525*225</f>
        <v>118125</v>
      </c>
      <c r="E18">
        <f t="shared" si="1"/>
        <v>2.2603174603174603E-3</v>
      </c>
      <c r="H18" s="1"/>
      <c r="I18" s="6"/>
    </row>
    <row r="19" spans="1:9" x14ac:dyDescent="0.3">
      <c r="A19" t="s">
        <v>200</v>
      </c>
      <c r="B19" s="1" t="s">
        <v>218</v>
      </c>
      <c r="C19" s="6">
        <v>365</v>
      </c>
      <c r="D19">
        <f>525*325</f>
        <v>170625</v>
      </c>
      <c r="E19">
        <f t="shared" ref="E19:E30" si="2">C19/D19</f>
        <v>2.1391941391941394E-3</v>
      </c>
      <c r="H19" s="1"/>
      <c r="I19" s="6"/>
    </row>
    <row r="20" spans="1:9" x14ac:dyDescent="0.3">
      <c r="A20" t="s">
        <v>200</v>
      </c>
      <c r="B20" s="1" t="s">
        <v>219</v>
      </c>
      <c r="C20" s="6">
        <v>466</v>
      </c>
      <c r="D20">
        <f>525*425</f>
        <v>223125</v>
      </c>
      <c r="E20">
        <f t="shared" si="2"/>
        <v>2.0885154061624652E-3</v>
      </c>
      <c r="H20" s="1"/>
      <c r="I20" s="6"/>
    </row>
    <row r="21" spans="1:9" x14ac:dyDescent="0.3">
      <c r="A21" t="s">
        <v>200</v>
      </c>
      <c r="B21" s="1" t="s">
        <v>220</v>
      </c>
      <c r="C21" s="6">
        <v>379.72</v>
      </c>
      <c r="D21">
        <f>525*525</f>
        <v>275625</v>
      </c>
      <c r="E21">
        <f t="shared" si="2"/>
        <v>1.3776689342403629E-3</v>
      </c>
      <c r="H21" s="1"/>
      <c r="I21" s="6"/>
    </row>
    <row r="22" spans="1:9" x14ac:dyDescent="0.3">
      <c r="B22" s="1"/>
      <c r="C22" s="6"/>
      <c r="H22" s="1"/>
      <c r="I22" s="6"/>
    </row>
    <row r="23" spans="1:9" x14ac:dyDescent="0.3">
      <c r="A23" t="s">
        <v>200</v>
      </c>
      <c r="B23" s="1" t="s">
        <v>221</v>
      </c>
      <c r="C23" s="6">
        <v>241.72</v>
      </c>
      <c r="D23">
        <f>625*125</f>
        <v>78125</v>
      </c>
      <c r="E23">
        <f t="shared" si="2"/>
        <v>3.0940159999999998E-3</v>
      </c>
      <c r="H23" s="1"/>
      <c r="I23" s="6"/>
    </row>
    <row r="24" spans="1:9" x14ac:dyDescent="0.3">
      <c r="A24" t="s">
        <v>200</v>
      </c>
      <c r="B24" s="1" t="s">
        <v>222</v>
      </c>
      <c r="C24" s="6">
        <v>181.69</v>
      </c>
      <c r="D24">
        <f>625*165</f>
        <v>103125</v>
      </c>
      <c r="E24">
        <f>C24/D24</f>
        <v>1.7618424242424242E-3</v>
      </c>
      <c r="H24" s="1"/>
      <c r="I24" s="6"/>
    </row>
    <row r="25" spans="1:9" x14ac:dyDescent="0.3">
      <c r="A25" t="s">
        <v>200</v>
      </c>
      <c r="B25" s="1" t="s">
        <v>223</v>
      </c>
      <c r="C25" s="10">
        <f>D25*E25</f>
        <v>239.08805194805194</v>
      </c>
      <c r="D25">
        <f>625*225</f>
        <v>140625</v>
      </c>
      <c r="E25">
        <f>(D25-D24)/(D28-D24)*(E28-E24)+E24</f>
        <v>1.7001817027417028E-3</v>
      </c>
      <c r="H25" s="1"/>
      <c r="I25" s="6"/>
    </row>
    <row r="26" spans="1:9" x14ac:dyDescent="0.3">
      <c r="A26" t="s">
        <v>200</v>
      </c>
      <c r="B26" s="1" t="s">
        <v>224</v>
      </c>
      <c r="C26" s="6">
        <v>437</v>
      </c>
      <c r="D26">
        <f>625*325</f>
        <v>203125</v>
      </c>
      <c r="E26">
        <f t="shared" si="2"/>
        <v>2.1513846153846153E-3</v>
      </c>
      <c r="H26" s="1"/>
      <c r="I26" s="6"/>
    </row>
    <row r="27" spans="1:9" x14ac:dyDescent="0.3">
      <c r="A27" t="s">
        <v>200</v>
      </c>
      <c r="B27" s="1" t="s">
        <v>225</v>
      </c>
      <c r="C27" s="6">
        <v>546</v>
      </c>
      <c r="D27">
        <f>625*425</f>
        <v>265625</v>
      </c>
      <c r="E27">
        <f t="shared" si="2"/>
        <v>2.055529411764706E-3</v>
      </c>
      <c r="H27" s="1"/>
      <c r="I27" s="6"/>
    </row>
    <row r="28" spans="1:9" x14ac:dyDescent="0.3">
      <c r="A28" t="s">
        <v>200</v>
      </c>
      <c r="B28" s="1" t="s">
        <v>226</v>
      </c>
      <c r="C28" s="6">
        <v>456.71</v>
      </c>
      <c r="D28">
        <f>625*525</f>
        <v>328125</v>
      </c>
      <c r="E28">
        <f>C28/D28</f>
        <v>1.3918780952380952E-3</v>
      </c>
      <c r="H28" s="1"/>
      <c r="I28" s="6"/>
    </row>
    <row r="29" spans="1:9" x14ac:dyDescent="0.3">
      <c r="B29" s="1"/>
      <c r="C29" s="6"/>
      <c r="H29" s="1"/>
      <c r="I29" s="6"/>
    </row>
    <row r="30" spans="1:9" x14ac:dyDescent="0.3">
      <c r="A30" t="s">
        <v>200</v>
      </c>
      <c r="B30" s="1" t="s">
        <v>227</v>
      </c>
      <c r="C30" s="6">
        <v>199.32</v>
      </c>
      <c r="D30">
        <f>825*125</f>
        <v>103125</v>
      </c>
      <c r="E30">
        <f t="shared" si="2"/>
        <v>1.9327999999999999E-3</v>
      </c>
      <c r="H30" s="1"/>
      <c r="I30" s="6"/>
    </row>
    <row r="31" spans="1:9" x14ac:dyDescent="0.3">
      <c r="A31" t="s">
        <v>200</v>
      </c>
      <c r="B31" s="1" t="s">
        <v>228</v>
      </c>
      <c r="C31" s="6">
        <v>338</v>
      </c>
      <c r="D31">
        <f>825*165</f>
        <v>136125</v>
      </c>
      <c r="E31">
        <f>C31/D31</f>
        <v>2.4830119375573922E-3</v>
      </c>
      <c r="H31" s="1"/>
      <c r="I31" s="6"/>
    </row>
    <row r="32" spans="1:9" x14ac:dyDescent="0.3">
      <c r="A32" t="s">
        <v>200</v>
      </c>
      <c r="B32" s="1" t="s">
        <v>229</v>
      </c>
      <c r="C32" s="6">
        <v>423</v>
      </c>
      <c r="D32">
        <f>825*225</f>
        <v>185625</v>
      </c>
      <c r="E32">
        <f t="shared" si="1"/>
        <v>2.2787878787878788E-3</v>
      </c>
      <c r="H32" s="1"/>
      <c r="I32" s="6"/>
    </row>
    <row r="33" spans="1:11" x14ac:dyDescent="0.3">
      <c r="A33" t="s">
        <v>200</v>
      </c>
      <c r="B33" s="1" t="s">
        <v>229</v>
      </c>
      <c r="C33" s="6">
        <v>423</v>
      </c>
      <c r="D33">
        <f>825*225</f>
        <v>185625</v>
      </c>
      <c r="E33">
        <f t="shared" ref="E33:E39" si="3">C33/D33</f>
        <v>2.2787878787878788E-3</v>
      </c>
      <c r="H33" s="1"/>
      <c r="I33" s="6"/>
    </row>
    <row r="34" spans="1:11" x14ac:dyDescent="0.3">
      <c r="A34" t="s">
        <v>200</v>
      </c>
      <c r="B34" s="1" t="s">
        <v>230</v>
      </c>
      <c r="C34" s="6">
        <v>565</v>
      </c>
      <c r="D34">
        <f>825*325</f>
        <v>268125</v>
      </c>
      <c r="E34">
        <f t="shared" si="3"/>
        <v>2.1072261072261071E-3</v>
      </c>
      <c r="H34" s="1"/>
      <c r="I34" s="6"/>
    </row>
    <row r="35" spans="1:11" x14ac:dyDescent="0.3">
      <c r="A35" t="s">
        <v>200</v>
      </c>
      <c r="B35" s="1" t="s">
        <v>231</v>
      </c>
      <c r="C35" s="6">
        <v>508.56</v>
      </c>
      <c r="D35">
        <f>825*425</f>
        <v>350625</v>
      </c>
      <c r="E35">
        <f t="shared" si="3"/>
        <v>1.4504385026737968E-3</v>
      </c>
    </row>
    <row r="36" spans="1:11" x14ac:dyDescent="0.3">
      <c r="A36" t="s">
        <v>200</v>
      </c>
      <c r="B36" s="1" t="s">
        <v>232</v>
      </c>
      <c r="C36" s="6">
        <v>848</v>
      </c>
      <c r="D36">
        <f>825*525</f>
        <v>433125</v>
      </c>
      <c r="E36">
        <f t="shared" si="3"/>
        <v>1.9578643578643581E-3</v>
      </c>
    </row>
    <row r="37" spans="1:11" x14ac:dyDescent="0.3">
      <c r="B37" s="1"/>
      <c r="C37" s="6"/>
    </row>
    <row r="38" spans="1:11" x14ac:dyDescent="0.3">
      <c r="A38" t="s">
        <v>200</v>
      </c>
      <c r="B38" s="1" t="s">
        <v>233</v>
      </c>
      <c r="C38" s="6"/>
      <c r="D38">
        <f>1025*125</f>
        <v>128125</v>
      </c>
      <c r="E38">
        <f t="shared" si="3"/>
        <v>0</v>
      </c>
      <c r="J38" s="1"/>
      <c r="K38" s="6"/>
    </row>
    <row r="39" spans="1:11" x14ac:dyDescent="0.3">
      <c r="A39" t="s">
        <v>200</v>
      </c>
      <c r="B39" s="1" t="s">
        <v>234</v>
      </c>
      <c r="C39" s="6">
        <v>451.64</v>
      </c>
      <c r="D39">
        <f>1025*165</f>
        <v>169125</v>
      </c>
      <c r="E39">
        <f t="shared" si="3"/>
        <v>2.6704508499630448E-3</v>
      </c>
    </row>
    <row r="40" spans="1:11" x14ac:dyDescent="0.3">
      <c r="A40" t="s">
        <v>200</v>
      </c>
      <c r="B40" s="1" t="s">
        <v>235</v>
      </c>
      <c r="C40" s="10">
        <f>E40*D40</f>
        <v>495.20139860139864</v>
      </c>
      <c r="D40">
        <f>1025*225</f>
        <v>230625</v>
      </c>
      <c r="E40">
        <f>(D42-D40)/(D42-D39)*(E42-E39)+E39</f>
        <v>2.1472147364830292E-3</v>
      </c>
    </row>
    <row r="41" spans="1:11" x14ac:dyDescent="0.3">
      <c r="A41" t="s">
        <v>200</v>
      </c>
      <c r="B41" s="1" t="s">
        <v>236</v>
      </c>
      <c r="C41" s="10">
        <f>E41*D41</f>
        <v>689.14545454545464</v>
      </c>
      <c r="D41">
        <f>1025*325</f>
        <v>333125</v>
      </c>
      <c r="E41">
        <f>(D42-D41)/(D42-D40)*(E42-E40)+E40</f>
        <v>2.0687293194610271E-3</v>
      </c>
    </row>
    <row r="42" spans="1:11" x14ac:dyDescent="0.3">
      <c r="A42" t="s">
        <v>200</v>
      </c>
      <c r="B42" s="1" t="s">
        <v>237</v>
      </c>
      <c r="C42" s="10">
        <v>867</v>
      </c>
      <c r="D42">
        <f>1025*425</f>
        <v>435625</v>
      </c>
      <c r="E42">
        <f>C42/D42</f>
        <v>1.9902439024390246E-3</v>
      </c>
    </row>
    <row r="43" spans="1:11" x14ac:dyDescent="0.3">
      <c r="A43" t="s">
        <v>200</v>
      </c>
      <c r="B43" s="1" t="s">
        <v>238</v>
      </c>
      <c r="C43" s="6">
        <v>1041</v>
      </c>
      <c r="D43">
        <f>1025*525</f>
        <v>538125</v>
      </c>
      <c r="E43">
        <f t="shared" ref="E43:E45" si="4">C43/D43</f>
        <v>1.9344947735191638E-3</v>
      </c>
    </row>
    <row r="44" spans="1:11" x14ac:dyDescent="0.3">
      <c r="B44" s="1"/>
      <c r="C44" s="6"/>
    </row>
    <row r="45" spans="1:11" x14ac:dyDescent="0.3">
      <c r="A45" t="s">
        <v>200</v>
      </c>
      <c r="B45" s="1" t="s">
        <v>239</v>
      </c>
      <c r="C45" s="6">
        <v>533.84</v>
      </c>
      <c r="D45">
        <f>1225*125</f>
        <v>153125</v>
      </c>
      <c r="E45">
        <f t="shared" si="4"/>
        <v>3.4863020408163266E-3</v>
      </c>
    </row>
    <row r="46" spans="1:11" x14ac:dyDescent="0.3">
      <c r="A46" t="s">
        <v>200</v>
      </c>
      <c r="B46" s="1" t="s">
        <v>240</v>
      </c>
      <c r="C46" s="10">
        <f>E46*D46</f>
        <v>674.62974857142854</v>
      </c>
      <c r="D46">
        <f>1225*165</f>
        <v>202125</v>
      </c>
      <c r="E46">
        <f>(D46-D45)/(D50-D45)*(E50-E45)+E45</f>
        <v>3.3376858309037902E-3</v>
      </c>
    </row>
    <row r="47" spans="1:11" x14ac:dyDescent="0.3">
      <c r="A47" t="s">
        <v>200</v>
      </c>
      <c r="B47" s="1" t="s">
        <v>241</v>
      </c>
      <c r="C47" s="10">
        <f t="shared" ref="C47:C48" si="5">E47*D47</f>
        <v>858.50614285714278</v>
      </c>
      <c r="D47">
        <f>1225*225</f>
        <v>275625</v>
      </c>
      <c r="E47">
        <f>(D47-D46)/(D50-D46)*(E50-E46)+E46</f>
        <v>3.1147615160349853E-3</v>
      </c>
    </row>
    <row r="48" spans="1:11" x14ac:dyDescent="0.3">
      <c r="A48" t="s">
        <v>200</v>
      </c>
      <c r="B48" s="1" t="s">
        <v>242</v>
      </c>
      <c r="C48" s="10">
        <f t="shared" si="5"/>
        <v>1092.1448571428571</v>
      </c>
      <c r="D48">
        <f>1225*325</f>
        <v>398125</v>
      </c>
      <c r="E48">
        <f>(D48-D47)/(D50-D47)*(E50-E47)+E47</f>
        <v>2.743220991253644E-3</v>
      </c>
    </row>
    <row r="49" spans="1:5" x14ac:dyDescent="0.3">
      <c r="A49" t="s">
        <v>200</v>
      </c>
      <c r="B49" s="1" t="s">
        <v>243</v>
      </c>
      <c r="C49" s="10">
        <f>E49*D49</f>
        <v>1234.7561428571425</v>
      </c>
      <c r="D49">
        <f>1225*425</f>
        <v>520625</v>
      </c>
      <c r="E49">
        <f>(D50-D49)/(D50-D48)*(E50-E48)+E48</f>
        <v>2.3716804664723028E-3</v>
      </c>
    </row>
    <row r="50" spans="1:5" x14ac:dyDescent="0.3">
      <c r="A50" t="s">
        <v>200</v>
      </c>
      <c r="B50" s="1" t="s">
        <v>244</v>
      </c>
      <c r="C50" s="6">
        <v>1286.3399999999999</v>
      </c>
      <c r="D50">
        <f>1225*525</f>
        <v>643125</v>
      </c>
      <c r="E50">
        <f t="shared" ref="E50" si="6">C50/D50</f>
        <v>2.0001399416909619E-3</v>
      </c>
    </row>
    <row r="54" spans="1:5" x14ac:dyDescent="0.3">
      <c r="A54" t="s">
        <v>245</v>
      </c>
      <c r="B54" s="1" t="s">
        <v>201</v>
      </c>
      <c r="C54">
        <v>66.319999999999993</v>
      </c>
      <c r="D54">
        <f>225*125</f>
        <v>28125</v>
      </c>
      <c r="E54">
        <f>C54/D54</f>
        <v>2.358044444444444E-3</v>
      </c>
    </row>
    <row r="55" spans="1:5" x14ac:dyDescent="0.3">
      <c r="A55" t="s">
        <v>245</v>
      </c>
      <c r="B55" s="1" t="s">
        <v>204</v>
      </c>
      <c r="C55" s="29">
        <f>E55*D55</f>
        <v>80.362773333333323</v>
      </c>
      <c r="D55">
        <f>225*165</f>
        <v>37125</v>
      </c>
      <c r="E55">
        <f>(D55-D54)/(D56-D54)*(E56-E54)+E54</f>
        <v>2.1646538271604936E-3</v>
      </c>
    </row>
    <row r="56" spans="1:5" x14ac:dyDescent="0.3">
      <c r="A56" t="s">
        <v>245</v>
      </c>
      <c r="B56" s="1" t="s">
        <v>205</v>
      </c>
      <c r="C56">
        <v>94.9</v>
      </c>
      <c r="D56">
        <f>225*225</f>
        <v>50625</v>
      </c>
      <c r="E56">
        <f t="shared" ref="E56:E102" si="7">C56/D56</f>
        <v>1.874567901234568E-3</v>
      </c>
    </row>
    <row r="57" spans="1:5" x14ac:dyDescent="0.3">
      <c r="B57" s="1"/>
    </row>
    <row r="58" spans="1:5" x14ac:dyDescent="0.3">
      <c r="A58" t="s">
        <v>245</v>
      </c>
      <c r="B58" s="1" t="s">
        <v>206</v>
      </c>
      <c r="C58">
        <v>89.43</v>
      </c>
      <c r="D58">
        <f>325*125</f>
        <v>40625</v>
      </c>
      <c r="E58">
        <f t="shared" si="7"/>
        <v>2.2013538461538463E-3</v>
      </c>
    </row>
    <row r="59" spans="1:5" x14ac:dyDescent="0.3">
      <c r="A59" t="s">
        <v>245</v>
      </c>
      <c r="B59" s="1" t="s">
        <v>207</v>
      </c>
      <c r="C59" s="29">
        <f>E59*D59</f>
        <v>111.45491076923078</v>
      </c>
      <c r="D59">
        <f>325*165</f>
        <v>53625</v>
      </c>
      <c r="E59">
        <f>(D59-D58)/(D61-D58)*(E61-E58)+E58</f>
        <v>2.07841325443787E-3</v>
      </c>
    </row>
    <row r="60" spans="1:5" x14ac:dyDescent="0.3">
      <c r="A60" t="s">
        <v>245</v>
      </c>
      <c r="B60" s="1" t="s">
        <v>208</v>
      </c>
      <c r="C60" s="29">
        <f>E60*D60</f>
        <v>138.49892307692309</v>
      </c>
      <c r="D60">
        <f>325*225</f>
        <v>73125</v>
      </c>
      <c r="E60">
        <f>(D60-D59)/(D61-D59)*(E61-E59)+E59</f>
        <v>1.8940023668639055E-3</v>
      </c>
    </row>
    <row r="61" spans="1:5" x14ac:dyDescent="0.3">
      <c r="A61" t="s">
        <v>245</v>
      </c>
      <c r="B61" s="1" t="s">
        <v>209</v>
      </c>
      <c r="C61">
        <v>167.59</v>
      </c>
      <c r="D61">
        <f>325*325</f>
        <v>105625</v>
      </c>
      <c r="E61">
        <f t="shared" si="7"/>
        <v>1.5866508875739646E-3</v>
      </c>
    </row>
    <row r="62" spans="1:5" x14ac:dyDescent="0.3">
      <c r="B62" s="1"/>
    </row>
    <row r="63" spans="1:5" x14ac:dyDescent="0.3">
      <c r="A63" t="s">
        <v>245</v>
      </c>
      <c r="B63" s="1" t="s">
        <v>210</v>
      </c>
      <c r="C63">
        <v>110.56</v>
      </c>
      <c r="D63">
        <f>425*125</f>
        <v>53125</v>
      </c>
      <c r="E63">
        <f t="shared" si="7"/>
        <v>2.0811294117647058E-3</v>
      </c>
    </row>
    <row r="64" spans="1:5" x14ac:dyDescent="0.3">
      <c r="A64" t="s">
        <v>245</v>
      </c>
      <c r="B64" s="1" t="s">
        <v>211</v>
      </c>
      <c r="C64" s="6">
        <v>132.65</v>
      </c>
      <c r="D64">
        <f>425*165</f>
        <v>70125</v>
      </c>
      <c r="E64">
        <f t="shared" si="7"/>
        <v>1.8916221033868095E-3</v>
      </c>
    </row>
    <row r="65" spans="1:5" x14ac:dyDescent="0.3">
      <c r="A65" t="s">
        <v>245</v>
      </c>
      <c r="B65" s="1" t="s">
        <v>212</v>
      </c>
      <c r="C65" s="28">
        <f>E65*D65</f>
        <v>183.36123251748251</v>
      </c>
      <c r="D65">
        <f>425*225</f>
        <v>95625</v>
      </c>
      <c r="E65">
        <f>(D66-D65)/(D66-D64)*(E66-E64)+E64</f>
        <v>1.917503085150144E-3</v>
      </c>
    </row>
    <row r="66" spans="1:5" x14ac:dyDescent="0.3">
      <c r="A66" t="s">
        <v>245</v>
      </c>
      <c r="B66" s="1" t="s">
        <v>213</v>
      </c>
      <c r="C66" s="6">
        <v>267</v>
      </c>
      <c r="D66">
        <f>425*325</f>
        <v>138125</v>
      </c>
      <c r="E66">
        <f t="shared" si="7"/>
        <v>1.9330316742081448E-3</v>
      </c>
    </row>
    <row r="67" spans="1:5" x14ac:dyDescent="0.3">
      <c r="A67" t="s">
        <v>245</v>
      </c>
      <c r="B67" s="1" t="s">
        <v>214</v>
      </c>
      <c r="C67">
        <v>256.72000000000003</v>
      </c>
      <c r="D67">
        <f>425*425</f>
        <v>180625</v>
      </c>
      <c r="E67">
        <f t="shared" si="7"/>
        <v>1.421287197231834E-3</v>
      </c>
    </row>
    <row r="68" spans="1:5" x14ac:dyDescent="0.3">
      <c r="B68" s="1"/>
    </row>
    <row r="69" spans="1:5" x14ac:dyDescent="0.3">
      <c r="A69" t="s">
        <v>245</v>
      </c>
      <c r="B69" s="1" t="s">
        <v>215</v>
      </c>
      <c r="C69">
        <v>134.16</v>
      </c>
      <c r="D69">
        <f>525*125</f>
        <v>65625</v>
      </c>
      <c r="E69">
        <f t="shared" si="7"/>
        <v>2.0443428571428569E-3</v>
      </c>
    </row>
    <row r="70" spans="1:5" x14ac:dyDescent="0.3">
      <c r="A70" t="s">
        <v>245</v>
      </c>
      <c r="B70" s="1" t="s">
        <v>216</v>
      </c>
      <c r="C70" s="29">
        <f>D70*E70</f>
        <v>150.29246634673362</v>
      </c>
      <c r="D70">
        <f>525*165</f>
        <v>86625</v>
      </c>
      <c r="E70">
        <f>(D70-E69)/(D74-D69)*(E74-E69)+E69</f>
        <v>1.7349779664846594E-3</v>
      </c>
    </row>
    <row r="71" spans="1:5" x14ac:dyDescent="0.3">
      <c r="A71" t="s">
        <v>245</v>
      </c>
      <c r="B71" s="1" t="s">
        <v>217</v>
      </c>
      <c r="C71" s="29">
        <f>D71*E71</f>
        <v>219.3402857142857</v>
      </c>
      <c r="D71">
        <f>525*225</f>
        <v>118125</v>
      </c>
      <c r="E71">
        <f>(D71-D69)/(D74-D69)*(E74-E69)+E69</f>
        <v>1.8568489795918366E-3</v>
      </c>
    </row>
    <row r="72" spans="1:5" x14ac:dyDescent="0.3">
      <c r="A72" t="s">
        <v>245</v>
      </c>
      <c r="B72" s="1" t="s">
        <v>218</v>
      </c>
      <c r="C72" s="29">
        <f>D72*E72</f>
        <v>284.83371428571428</v>
      </c>
      <c r="D72">
        <f>525*325</f>
        <v>170625</v>
      </c>
      <c r="E72">
        <f>(D72-D69)/(D74-D69)*(E74-E69)+E69</f>
        <v>1.6693551020408163E-3</v>
      </c>
    </row>
    <row r="73" spans="1:5" x14ac:dyDescent="0.3">
      <c r="A73" t="s">
        <v>245</v>
      </c>
      <c r="B73" s="1" t="s">
        <v>219</v>
      </c>
      <c r="C73" s="29">
        <f>D73*E73</f>
        <v>330.64028571428571</v>
      </c>
      <c r="D73">
        <f>525*425</f>
        <v>223125</v>
      </c>
      <c r="E73">
        <f>(D73-D69)/(D74-D69)*(E74-E69)+E69</f>
        <v>1.4818612244897958E-3</v>
      </c>
    </row>
    <row r="74" spans="1:5" x14ac:dyDescent="0.3">
      <c r="A74" t="s">
        <v>245</v>
      </c>
      <c r="B74" s="1" t="s">
        <v>220</v>
      </c>
      <c r="C74">
        <v>356.76</v>
      </c>
      <c r="D74">
        <f>525*525</f>
        <v>275625</v>
      </c>
      <c r="E74">
        <f t="shared" si="7"/>
        <v>1.2943673469387755E-3</v>
      </c>
    </row>
    <row r="75" spans="1:5" x14ac:dyDescent="0.3">
      <c r="B75" s="1"/>
    </row>
    <row r="76" spans="1:5" x14ac:dyDescent="0.3">
      <c r="A76" t="s">
        <v>245</v>
      </c>
      <c r="B76" s="1" t="s">
        <v>221</v>
      </c>
      <c r="C76" s="6"/>
      <c r="D76">
        <f>625*125</f>
        <v>78125</v>
      </c>
      <c r="E76">
        <f t="shared" si="7"/>
        <v>0</v>
      </c>
    </row>
    <row r="77" spans="1:5" x14ac:dyDescent="0.3">
      <c r="A77" t="s">
        <v>245</v>
      </c>
      <c r="B77" s="1" t="s">
        <v>222</v>
      </c>
      <c r="C77" s="6">
        <v>187.7</v>
      </c>
      <c r="D77">
        <f>625*165</f>
        <v>103125</v>
      </c>
      <c r="E77">
        <f t="shared" si="7"/>
        <v>1.8201212121212119E-3</v>
      </c>
    </row>
    <row r="78" spans="1:5" x14ac:dyDescent="0.3">
      <c r="A78" t="s">
        <v>245</v>
      </c>
      <c r="B78" s="1" t="s">
        <v>223</v>
      </c>
      <c r="C78" s="29">
        <f>D78*E78</f>
        <v>244.12974025974023</v>
      </c>
      <c r="D78">
        <f>625*225</f>
        <v>140625</v>
      </c>
      <c r="E78">
        <f>(D78-D77)/(D81-D77)*(E81-E77)+E77</f>
        <v>1.7360337085137083E-3</v>
      </c>
    </row>
    <row r="79" spans="1:5" x14ac:dyDescent="0.3">
      <c r="A79" t="s">
        <v>245</v>
      </c>
      <c r="B79" s="1" t="s">
        <v>224</v>
      </c>
      <c r="C79" s="29">
        <f>D79*E79</f>
        <v>324.16472342472338</v>
      </c>
      <c r="D79">
        <f>625*325</f>
        <v>203125</v>
      </c>
      <c r="E79">
        <f>(D79-D78)/(D81-D78)*(E81-E78)+E78</f>
        <v>1.595887869167869E-3</v>
      </c>
    </row>
    <row r="80" spans="1:5" x14ac:dyDescent="0.3">
      <c r="A80" t="s">
        <v>245</v>
      </c>
      <c r="B80" s="1" t="s">
        <v>225</v>
      </c>
      <c r="C80" s="29">
        <f>D80*E80</f>
        <v>386.68147667147662</v>
      </c>
      <c r="D80">
        <f>625*425</f>
        <v>265625</v>
      </c>
      <c r="E80">
        <f>(D80-D79)/(D81-D79)*(E81-E79)+E79</f>
        <v>1.4557420298220297E-3</v>
      </c>
    </row>
    <row r="81" spans="1:5" x14ac:dyDescent="0.3">
      <c r="A81" t="s">
        <v>245</v>
      </c>
      <c r="B81" s="1" t="s">
        <v>226</v>
      </c>
      <c r="C81" s="6">
        <v>431.68</v>
      </c>
      <c r="D81">
        <f>625*525</f>
        <v>328125</v>
      </c>
      <c r="E81">
        <f t="shared" si="7"/>
        <v>1.3155961904761904E-3</v>
      </c>
    </row>
    <row r="82" spans="1:5" x14ac:dyDescent="0.3">
      <c r="B82" s="1"/>
    </row>
    <row r="83" spans="1:5" x14ac:dyDescent="0.3">
      <c r="A83" t="s">
        <v>245</v>
      </c>
      <c r="B83" s="1" t="s">
        <v>227</v>
      </c>
      <c r="C83">
        <v>209.83</v>
      </c>
      <c r="D83">
        <f>825*125</f>
        <v>103125</v>
      </c>
      <c r="E83">
        <f t="shared" si="7"/>
        <v>2.0347151515151514E-3</v>
      </c>
    </row>
    <row r="84" spans="1:5" x14ac:dyDescent="0.3">
      <c r="A84" t="s">
        <v>245</v>
      </c>
      <c r="B84" s="1" t="s">
        <v>228</v>
      </c>
      <c r="C84" s="29">
        <f>D84*E84</f>
        <v>265.29737882352941</v>
      </c>
      <c r="D84">
        <f>825*165</f>
        <v>136125</v>
      </c>
      <c r="E84">
        <f>(D84-D83)/(D87-D83)*(E87-E83)+E83</f>
        <v>1.9489247296494354E-3</v>
      </c>
    </row>
    <row r="85" spans="1:5" x14ac:dyDescent="0.3">
      <c r="A85" t="s">
        <v>245</v>
      </c>
      <c r="B85" s="1" t="s">
        <v>229</v>
      </c>
      <c r="C85" s="29">
        <f>D85*E85</f>
        <v>337.88188235294115</v>
      </c>
      <c r="D85">
        <f>825*225</f>
        <v>185625</v>
      </c>
      <c r="E85">
        <f>(D85-D83)/(D87-D83)*(E87-E83)+E83</f>
        <v>1.8202390968508615E-3</v>
      </c>
    </row>
    <row r="86" spans="1:5" x14ac:dyDescent="0.3">
      <c r="A86" t="s">
        <v>245</v>
      </c>
      <c r="B86" s="1" t="s">
        <v>230</v>
      </c>
      <c r="C86" s="29">
        <f>D86*E86</f>
        <v>430.5452156862745</v>
      </c>
      <c r="D86">
        <f>825*325</f>
        <v>268125</v>
      </c>
      <c r="E86">
        <f>(D86-D83)/(D87-D83)*(E87-E83)+E83</f>
        <v>1.6057630421865716E-3</v>
      </c>
    </row>
    <row r="87" spans="1:5" x14ac:dyDescent="0.3">
      <c r="A87" t="s">
        <v>245</v>
      </c>
      <c r="B87" s="1" t="s">
        <v>231</v>
      </c>
      <c r="C87" s="6">
        <v>487.82</v>
      </c>
      <c r="D87">
        <f>825*425</f>
        <v>350625</v>
      </c>
      <c r="E87">
        <f t="shared" si="7"/>
        <v>1.3912869875222817E-3</v>
      </c>
    </row>
    <row r="88" spans="1:5" x14ac:dyDescent="0.3">
      <c r="A88" t="s">
        <v>245</v>
      </c>
      <c r="B88" s="1" t="s">
        <v>232</v>
      </c>
      <c r="D88">
        <f>825*525</f>
        <v>433125</v>
      </c>
      <c r="E88">
        <f t="shared" si="7"/>
        <v>0</v>
      </c>
    </row>
    <row r="89" spans="1:5" x14ac:dyDescent="0.3">
      <c r="B89" s="1"/>
    </row>
    <row r="90" spans="1:5" x14ac:dyDescent="0.3">
      <c r="A90" t="s">
        <v>245</v>
      </c>
      <c r="B90" s="1" t="s">
        <v>233</v>
      </c>
      <c r="D90">
        <f>1025*125</f>
        <v>128125</v>
      </c>
      <c r="E90">
        <f t="shared" si="7"/>
        <v>0</v>
      </c>
    </row>
    <row r="91" spans="1:5" x14ac:dyDescent="0.3">
      <c r="A91" t="s">
        <v>245</v>
      </c>
      <c r="B91" s="1" t="s">
        <v>234</v>
      </c>
      <c r="D91">
        <f>1025*165</f>
        <v>169125</v>
      </c>
      <c r="E91">
        <f t="shared" si="7"/>
        <v>0</v>
      </c>
    </row>
    <row r="92" spans="1:5" x14ac:dyDescent="0.3">
      <c r="A92" t="s">
        <v>245</v>
      </c>
      <c r="B92" s="1" t="s">
        <v>235</v>
      </c>
      <c r="C92" s="6">
        <v>380</v>
      </c>
      <c r="D92">
        <f>1025*225</f>
        <v>230625</v>
      </c>
      <c r="E92" s="27">
        <f>C92/D92</f>
        <v>1.6476964769647697E-3</v>
      </c>
    </row>
    <row r="93" spans="1:5" x14ac:dyDescent="0.3">
      <c r="A93" t="s">
        <v>245</v>
      </c>
      <c r="B93" s="1" t="s">
        <v>236</v>
      </c>
      <c r="D93">
        <f>1025*325</f>
        <v>333125</v>
      </c>
      <c r="E93">
        <f t="shared" si="7"/>
        <v>0</v>
      </c>
    </row>
    <row r="94" spans="1:5" x14ac:dyDescent="0.3">
      <c r="A94" t="s">
        <v>245</v>
      </c>
      <c r="B94" s="1" t="s">
        <v>237</v>
      </c>
      <c r="D94">
        <f>1025*425</f>
        <v>435625</v>
      </c>
      <c r="E94">
        <f t="shared" si="7"/>
        <v>0</v>
      </c>
    </row>
    <row r="95" spans="1:5" x14ac:dyDescent="0.3">
      <c r="A95" t="s">
        <v>245</v>
      </c>
      <c r="B95" s="1" t="s">
        <v>238</v>
      </c>
      <c r="D95">
        <f>1025*525</f>
        <v>538125</v>
      </c>
      <c r="E95">
        <f t="shared" si="7"/>
        <v>0</v>
      </c>
    </row>
    <row r="96" spans="1:5" x14ac:dyDescent="0.3">
      <c r="B96" s="1"/>
    </row>
    <row r="97" spans="1:5" x14ac:dyDescent="0.3">
      <c r="A97" t="s">
        <v>245</v>
      </c>
      <c r="B97" s="1" t="s">
        <v>239</v>
      </c>
      <c r="D97">
        <f>1225*125</f>
        <v>153125</v>
      </c>
      <c r="E97">
        <f t="shared" si="7"/>
        <v>0</v>
      </c>
    </row>
    <row r="98" spans="1:5" x14ac:dyDescent="0.3">
      <c r="A98" t="s">
        <v>245</v>
      </c>
      <c r="B98" s="1" t="s">
        <v>240</v>
      </c>
      <c r="D98">
        <f>1225*165</f>
        <v>202125</v>
      </c>
      <c r="E98">
        <f t="shared" si="7"/>
        <v>0</v>
      </c>
    </row>
    <row r="99" spans="1:5" x14ac:dyDescent="0.3">
      <c r="A99" t="s">
        <v>245</v>
      </c>
      <c r="B99" s="1" t="s">
        <v>241</v>
      </c>
      <c r="C99" s="6">
        <v>450</v>
      </c>
      <c r="D99">
        <f>1225*225</f>
        <v>275625</v>
      </c>
      <c r="E99">
        <f t="shared" si="7"/>
        <v>1.6326530612244899E-3</v>
      </c>
    </row>
    <row r="100" spans="1:5" x14ac:dyDescent="0.3">
      <c r="A100" t="s">
        <v>245</v>
      </c>
      <c r="B100" s="1" t="s">
        <v>242</v>
      </c>
      <c r="D100">
        <f>1225*325</f>
        <v>398125</v>
      </c>
      <c r="E100">
        <f t="shared" si="7"/>
        <v>0</v>
      </c>
    </row>
    <row r="101" spans="1:5" x14ac:dyDescent="0.3">
      <c r="A101" t="s">
        <v>245</v>
      </c>
      <c r="B101" s="1" t="s">
        <v>243</v>
      </c>
      <c r="D101">
        <f>1225*425</f>
        <v>520625</v>
      </c>
      <c r="E101">
        <f t="shared" si="7"/>
        <v>0</v>
      </c>
    </row>
    <row r="102" spans="1:5" x14ac:dyDescent="0.3">
      <c r="A102" t="s">
        <v>245</v>
      </c>
      <c r="B102" s="1" t="s">
        <v>244</v>
      </c>
      <c r="D102">
        <f>1225*525</f>
        <v>643125</v>
      </c>
      <c r="E102">
        <f t="shared" si="7"/>
        <v>0</v>
      </c>
    </row>
    <row r="105" spans="1:5" x14ac:dyDescent="0.3">
      <c r="A105" t="s">
        <v>246</v>
      </c>
      <c r="B105" s="1" t="s">
        <v>247</v>
      </c>
      <c r="C105" s="6">
        <v>158.37</v>
      </c>
      <c r="D105">
        <f>200*200</f>
        <v>40000</v>
      </c>
      <c r="E105">
        <f>C105/D105</f>
        <v>3.9592500000000001E-3</v>
      </c>
    </row>
    <row r="106" spans="1:5" x14ac:dyDescent="0.3">
      <c r="B106" s="1"/>
      <c r="C106" s="6"/>
    </row>
    <row r="107" spans="1:5" x14ac:dyDescent="0.3">
      <c r="A107" t="s">
        <v>246</v>
      </c>
      <c r="B107" s="1" t="s">
        <v>248</v>
      </c>
      <c r="C107" s="6">
        <v>205</v>
      </c>
      <c r="D107">
        <f>300*200</f>
        <v>60000</v>
      </c>
      <c r="E107">
        <f t="shared" ref="E107:E168" si="8">C107/D107</f>
        <v>3.4166666666666668E-3</v>
      </c>
    </row>
    <row r="108" spans="1:5" x14ac:dyDescent="0.3">
      <c r="A108" t="s">
        <v>246</v>
      </c>
      <c r="B108" s="1" t="s">
        <v>249</v>
      </c>
      <c r="C108" s="6">
        <v>261.38</v>
      </c>
      <c r="D108">
        <f>300*300</f>
        <v>90000</v>
      </c>
      <c r="E108">
        <f t="shared" si="8"/>
        <v>2.9042222222222221E-3</v>
      </c>
    </row>
    <row r="109" spans="1:5" x14ac:dyDescent="0.3">
      <c r="B109" s="1"/>
      <c r="C109" s="6"/>
    </row>
    <row r="110" spans="1:5" x14ac:dyDescent="0.3">
      <c r="A110" t="s">
        <v>246</v>
      </c>
      <c r="B110" s="1" t="s">
        <v>250</v>
      </c>
      <c r="C110" s="6">
        <v>236.79</v>
      </c>
      <c r="D110">
        <f>400*200</f>
        <v>80000</v>
      </c>
      <c r="E110">
        <f t="shared" si="8"/>
        <v>2.9598749999999998E-3</v>
      </c>
    </row>
    <row r="111" spans="1:5" x14ac:dyDescent="0.3">
      <c r="A111" t="s">
        <v>246</v>
      </c>
      <c r="B111" s="1" t="s">
        <v>251</v>
      </c>
      <c r="C111" s="10">
        <f>D111*E111</f>
        <v>318.62249999999995</v>
      </c>
      <c r="D111">
        <f>400*300</f>
        <v>120000</v>
      </c>
      <c r="E111">
        <f>(D111-D110)/(D112-D110)*(E112-E110)+E110</f>
        <v>2.6551874999999996E-3</v>
      </c>
    </row>
    <row r="112" spans="1:5" x14ac:dyDescent="0.3">
      <c r="A112" t="s">
        <v>246</v>
      </c>
      <c r="B112" s="1" t="s">
        <v>252</v>
      </c>
      <c r="C112" s="6">
        <v>376.08</v>
      </c>
      <c r="D112">
        <f>400*400</f>
        <v>160000</v>
      </c>
      <c r="E112">
        <f t="shared" si="8"/>
        <v>2.3504999999999997E-3</v>
      </c>
    </row>
    <row r="113" spans="1:5" x14ac:dyDescent="0.3">
      <c r="B113" s="1"/>
      <c r="C113" s="6"/>
    </row>
    <row r="114" spans="1:5" x14ac:dyDescent="0.3">
      <c r="A114" t="s">
        <v>246</v>
      </c>
      <c r="B114" s="1" t="s">
        <v>253</v>
      </c>
      <c r="C114" s="6">
        <v>594.36</v>
      </c>
      <c r="D114">
        <f>500*200</f>
        <v>100000</v>
      </c>
      <c r="E114" s="30">
        <f>C114/D114</f>
        <v>5.9436000000000003E-3</v>
      </c>
    </row>
    <row r="115" spans="1:5" x14ac:dyDescent="0.3">
      <c r="A115" t="s">
        <v>246</v>
      </c>
      <c r="B115" s="1" t="s">
        <v>254</v>
      </c>
      <c r="C115" s="6"/>
      <c r="D115">
        <f>500*300</f>
        <v>150000</v>
      </c>
      <c r="E115">
        <f t="shared" si="8"/>
        <v>0</v>
      </c>
    </row>
    <row r="116" spans="1:5" x14ac:dyDescent="0.3">
      <c r="A116" t="s">
        <v>246</v>
      </c>
      <c r="B116" s="1" t="s">
        <v>255</v>
      </c>
      <c r="C116" s="6"/>
      <c r="D116">
        <f>500*400</f>
        <v>200000</v>
      </c>
      <c r="E116">
        <f t="shared" si="8"/>
        <v>0</v>
      </c>
    </row>
    <row r="117" spans="1:5" x14ac:dyDescent="0.3">
      <c r="A117" t="s">
        <v>246</v>
      </c>
      <c r="B117" s="1" t="s">
        <v>256</v>
      </c>
      <c r="C117" s="6">
        <v>524.85</v>
      </c>
      <c r="D117">
        <f>500*500</f>
        <v>250000</v>
      </c>
      <c r="E117">
        <f t="shared" si="8"/>
        <v>2.0994E-3</v>
      </c>
    </row>
    <row r="118" spans="1:5" x14ac:dyDescent="0.3">
      <c r="B118" s="1"/>
      <c r="C118" s="6"/>
    </row>
    <row r="119" spans="1:5" x14ac:dyDescent="0.3">
      <c r="A119" t="s">
        <v>246</v>
      </c>
      <c r="B119" s="1" t="s">
        <v>257</v>
      </c>
      <c r="C119" s="6">
        <v>336.6</v>
      </c>
      <c r="D119">
        <f>600*200</f>
        <v>120000</v>
      </c>
      <c r="E119">
        <f t="shared" si="8"/>
        <v>2.8050000000000002E-3</v>
      </c>
    </row>
    <row r="120" spans="1:5" x14ac:dyDescent="0.3">
      <c r="A120" t="s">
        <v>246</v>
      </c>
      <c r="B120" s="1" t="s">
        <v>258</v>
      </c>
      <c r="C120" s="10">
        <f>D120*E120</f>
        <v>468.63375000000002</v>
      </c>
      <c r="D120">
        <f>600*300</f>
        <v>180000</v>
      </c>
      <c r="E120">
        <f>(D120-D119)/(D123-D119)*(E123-E119)+E119</f>
        <v>2.6035208333333336E-3</v>
      </c>
    </row>
    <row r="121" spans="1:5" x14ac:dyDescent="0.3">
      <c r="A121" t="s">
        <v>246</v>
      </c>
      <c r="B121" s="1" t="s">
        <v>259</v>
      </c>
      <c r="C121" s="6"/>
      <c r="D121">
        <f>600*400</f>
        <v>240000</v>
      </c>
      <c r="E121">
        <f>(D121-D119)/(D123-D119)*(E123-E119)+E119</f>
        <v>2.4020416666666669E-3</v>
      </c>
    </row>
    <row r="122" spans="1:5" x14ac:dyDescent="0.3">
      <c r="A122" t="s">
        <v>246</v>
      </c>
      <c r="B122" s="1" t="s">
        <v>260</v>
      </c>
      <c r="C122" s="6"/>
      <c r="D122">
        <f>500*600</f>
        <v>300000</v>
      </c>
      <c r="E122">
        <f t="shared" si="8"/>
        <v>0</v>
      </c>
    </row>
    <row r="123" spans="1:5" x14ac:dyDescent="0.3">
      <c r="A123" t="s">
        <v>246</v>
      </c>
      <c r="B123" s="1" t="s">
        <v>261</v>
      </c>
      <c r="C123" s="6">
        <v>719.67</v>
      </c>
      <c r="D123">
        <f>600*600</f>
        <v>360000</v>
      </c>
      <c r="E123">
        <f t="shared" si="8"/>
        <v>1.9990833333333332E-3</v>
      </c>
    </row>
    <row r="124" spans="1:5" x14ac:dyDescent="0.3">
      <c r="B124" s="1"/>
      <c r="C124" s="6"/>
    </row>
    <row r="125" spans="1:5" x14ac:dyDescent="0.3">
      <c r="A125" t="s">
        <v>246</v>
      </c>
      <c r="B125" s="1" t="s">
        <v>262</v>
      </c>
      <c r="C125" s="6"/>
      <c r="D125">
        <f>750*200</f>
        <v>150000</v>
      </c>
      <c r="E125">
        <f t="shared" si="8"/>
        <v>0</v>
      </c>
    </row>
    <row r="126" spans="1:5" x14ac:dyDescent="0.3">
      <c r="A126" t="s">
        <v>246</v>
      </c>
      <c r="B126" s="1" t="s">
        <v>263</v>
      </c>
      <c r="C126" s="6"/>
      <c r="D126">
        <f>750*300</f>
        <v>225000</v>
      </c>
      <c r="E126">
        <f t="shared" si="8"/>
        <v>0</v>
      </c>
    </row>
    <row r="127" spans="1:5" x14ac:dyDescent="0.3">
      <c r="A127" t="s">
        <v>246</v>
      </c>
      <c r="B127" s="1" t="s">
        <v>264</v>
      </c>
      <c r="C127" s="6"/>
      <c r="D127">
        <f>750*400</f>
        <v>300000</v>
      </c>
      <c r="E127">
        <f t="shared" si="8"/>
        <v>0</v>
      </c>
    </row>
    <row r="128" spans="1:5" x14ac:dyDescent="0.3">
      <c r="A128" t="s">
        <v>246</v>
      </c>
      <c r="B128" s="1" t="s">
        <v>265</v>
      </c>
      <c r="C128" s="6"/>
      <c r="D128">
        <f>750*500</f>
        <v>375000</v>
      </c>
      <c r="E128">
        <f t="shared" si="8"/>
        <v>0</v>
      </c>
    </row>
    <row r="129" spans="1:5" x14ac:dyDescent="0.3">
      <c r="A129" t="s">
        <v>246</v>
      </c>
      <c r="B129" s="1" t="s">
        <v>266</v>
      </c>
      <c r="C129" s="6"/>
      <c r="D129">
        <f>750*600</f>
        <v>450000</v>
      </c>
      <c r="E129">
        <f t="shared" si="8"/>
        <v>0</v>
      </c>
    </row>
    <row r="130" spans="1:5" x14ac:dyDescent="0.3">
      <c r="B130" s="1"/>
      <c r="C130" s="6"/>
    </row>
    <row r="131" spans="1:5" x14ac:dyDescent="0.3">
      <c r="A131" t="s">
        <v>246</v>
      </c>
      <c r="B131" s="1" t="s">
        <v>267</v>
      </c>
      <c r="C131" s="6">
        <v>497.69</v>
      </c>
      <c r="D131">
        <f>900*200</f>
        <v>180000</v>
      </c>
      <c r="E131">
        <f t="shared" si="8"/>
        <v>2.7649444444444444E-3</v>
      </c>
    </row>
    <row r="132" spans="1:5" x14ac:dyDescent="0.3">
      <c r="A132" t="s">
        <v>246</v>
      </c>
      <c r="B132" s="1" t="s">
        <v>268</v>
      </c>
      <c r="C132" s="6"/>
      <c r="D132">
        <f>900*300</f>
        <v>270000</v>
      </c>
      <c r="E132">
        <f t="shared" si="8"/>
        <v>0</v>
      </c>
    </row>
    <row r="133" spans="1:5" x14ac:dyDescent="0.3">
      <c r="A133" t="s">
        <v>246</v>
      </c>
      <c r="B133" s="1" t="s">
        <v>269</v>
      </c>
      <c r="C133" s="6"/>
      <c r="D133">
        <f>900*400</f>
        <v>360000</v>
      </c>
      <c r="E133">
        <f t="shared" si="8"/>
        <v>0</v>
      </c>
    </row>
    <row r="134" spans="1:5" x14ac:dyDescent="0.3">
      <c r="A134" t="s">
        <v>246</v>
      </c>
      <c r="B134" s="1" t="s">
        <v>270</v>
      </c>
      <c r="C134" s="6">
        <v>776.02</v>
      </c>
      <c r="D134">
        <f>900*500</f>
        <v>450000</v>
      </c>
      <c r="E134">
        <f t="shared" si="8"/>
        <v>1.7244888888888889E-3</v>
      </c>
    </row>
    <row r="135" spans="1:5" x14ac:dyDescent="0.3">
      <c r="A135" t="s">
        <v>246</v>
      </c>
      <c r="B135" s="1" t="s">
        <v>271</v>
      </c>
      <c r="C135" s="6"/>
      <c r="D135">
        <f>900*600</f>
        <v>540000</v>
      </c>
      <c r="E135">
        <f t="shared" si="8"/>
        <v>0</v>
      </c>
    </row>
    <row r="136" spans="1:5" x14ac:dyDescent="0.3">
      <c r="A136" t="s">
        <v>246</v>
      </c>
      <c r="B136" s="1" t="s">
        <v>272</v>
      </c>
      <c r="C136" s="6"/>
      <c r="D136">
        <f>900*800</f>
        <v>720000</v>
      </c>
      <c r="E136">
        <f t="shared" si="8"/>
        <v>0</v>
      </c>
    </row>
    <row r="137" spans="1:5" x14ac:dyDescent="0.3">
      <c r="B137" s="1"/>
      <c r="C137" s="6"/>
    </row>
    <row r="138" spans="1:5" x14ac:dyDescent="0.3">
      <c r="A138" t="s">
        <v>246</v>
      </c>
      <c r="B138" s="1" t="s">
        <v>273</v>
      </c>
      <c r="C138" s="6"/>
      <c r="D138">
        <f>1000*200</f>
        <v>200000</v>
      </c>
      <c r="E138">
        <f t="shared" si="8"/>
        <v>0</v>
      </c>
    </row>
    <row r="139" spans="1:5" x14ac:dyDescent="0.3">
      <c r="A139" t="s">
        <v>246</v>
      </c>
      <c r="B139" s="1" t="s">
        <v>274</v>
      </c>
      <c r="C139" s="6"/>
      <c r="D139">
        <f>1000*300</f>
        <v>300000</v>
      </c>
      <c r="E139">
        <f t="shared" si="8"/>
        <v>0</v>
      </c>
    </row>
    <row r="140" spans="1:5" x14ac:dyDescent="0.3">
      <c r="A140" t="s">
        <v>246</v>
      </c>
      <c r="B140" s="1" t="s">
        <v>275</v>
      </c>
      <c r="C140" s="6"/>
      <c r="D140">
        <f>1000*400</f>
        <v>400000</v>
      </c>
      <c r="E140">
        <f t="shared" si="8"/>
        <v>0</v>
      </c>
    </row>
    <row r="141" spans="1:5" x14ac:dyDescent="0.3">
      <c r="A141" t="s">
        <v>246</v>
      </c>
      <c r="B141" s="1" t="s">
        <v>276</v>
      </c>
      <c r="C141" s="6"/>
      <c r="D141">
        <f>1000*500</f>
        <v>500000</v>
      </c>
      <c r="E141">
        <f t="shared" si="8"/>
        <v>0</v>
      </c>
    </row>
    <row r="142" spans="1:5" x14ac:dyDescent="0.3">
      <c r="A142" t="s">
        <v>246</v>
      </c>
      <c r="B142" s="1" t="s">
        <v>277</v>
      </c>
      <c r="C142" s="6"/>
      <c r="D142">
        <f>600000</f>
        <v>600000</v>
      </c>
      <c r="E142">
        <f t="shared" si="8"/>
        <v>0</v>
      </c>
    </row>
    <row r="143" spans="1:5" x14ac:dyDescent="0.3">
      <c r="A143" t="s">
        <v>246</v>
      </c>
      <c r="B143" s="1" t="s">
        <v>278</v>
      </c>
      <c r="C143" s="6"/>
      <c r="D143">
        <v>800000</v>
      </c>
      <c r="E143">
        <f t="shared" si="8"/>
        <v>0</v>
      </c>
    </row>
    <row r="144" spans="1:5" x14ac:dyDescent="0.3">
      <c r="B144" s="1"/>
      <c r="C144" s="6"/>
    </row>
    <row r="145" spans="1:5" x14ac:dyDescent="0.3">
      <c r="A145" t="s">
        <v>246</v>
      </c>
      <c r="B145" s="1" t="s">
        <v>279</v>
      </c>
      <c r="C145" s="6"/>
      <c r="D145">
        <f>1200*200</f>
        <v>240000</v>
      </c>
      <c r="E145">
        <f t="shared" si="8"/>
        <v>0</v>
      </c>
    </row>
    <row r="146" spans="1:5" x14ac:dyDescent="0.3">
      <c r="A146" t="s">
        <v>246</v>
      </c>
      <c r="B146" s="1" t="s">
        <v>280</v>
      </c>
      <c r="C146" s="6"/>
      <c r="D146">
        <f>1200*300</f>
        <v>360000</v>
      </c>
      <c r="E146">
        <f t="shared" si="8"/>
        <v>0</v>
      </c>
    </row>
    <row r="147" spans="1:5" x14ac:dyDescent="0.3">
      <c r="A147" t="s">
        <v>246</v>
      </c>
      <c r="B147" s="1" t="s">
        <v>281</v>
      </c>
      <c r="C147" s="6"/>
      <c r="D147">
        <f>1200*400</f>
        <v>480000</v>
      </c>
      <c r="E147">
        <f t="shared" si="8"/>
        <v>0</v>
      </c>
    </row>
    <row r="148" spans="1:5" x14ac:dyDescent="0.3">
      <c r="A148" t="s">
        <v>246</v>
      </c>
      <c r="B148" s="1" t="s">
        <v>282</v>
      </c>
      <c r="C148" s="6"/>
      <c r="D148">
        <f>1200*500</f>
        <v>600000</v>
      </c>
      <c r="E148">
        <f t="shared" si="8"/>
        <v>0</v>
      </c>
    </row>
    <row r="149" spans="1:5" x14ac:dyDescent="0.3">
      <c r="A149" t="s">
        <v>246</v>
      </c>
      <c r="B149" s="1" t="s">
        <v>283</v>
      </c>
      <c r="C149" s="6"/>
      <c r="D149">
        <f>1200*600</f>
        <v>720000</v>
      </c>
      <c r="E149">
        <f t="shared" si="8"/>
        <v>0</v>
      </c>
    </row>
    <row r="150" spans="1:5" x14ac:dyDescent="0.3">
      <c r="A150" t="s">
        <v>246</v>
      </c>
      <c r="B150" s="1" t="s">
        <v>284</v>
      </c>
      <c r="C150" s="6"/>
      <c r="D150">
        <f>1200*800</f>
        <v>960000</v>
      </c>
      <c r="E150">
        <f t="shared" si="8"/>
        <v>0</v>
      </c>
    </row>
    <row r="151" spans="1:5" x14ac:dyDescent="0.3">
      <c r="A151" t="s">
        <v>246</v>
      </c>
      <c r="B151" s="1" t="s">
        <v>285</v>
      </c>
      <c r="C151" s="6"/>
      <c r="D151">
        <f>1200*1000</f>
        <v>1200000</v>
      </c>
      <c r="E151">
        <f t="shared" si="8"/>
        <v>0</v>
      </c>
    </row>
    <row r="152" spans="1:5" x14ac:dyDescent="0.3">
      <c r="A152" t="s">
        <v>246</v>
      </c>
      <c r="B152" s="1" t="s">
        <v>286</v>
      </c>
      <c r="C152" s="6"/>
      <c r="D152">
        <f>1200*1200</f>
        <v>1440000</v>
      </c>
      <c r="E152">
        <f t="shared" si="8"/>
        <v>0</v>
      </c>
    </row>
    <row r="153" spans="1:5" x14ac:dyDescent="0.3">
      <c r="B153" s="1"/>
      <c r="C153" s="6"/>
    </row>
    <row r="154" spans="1:5" x14ac:dyDescent="0.3">
      <c r="A154" t="s">
        <v>246</v>
      </c>
      <c r="B154" s="1" t="s">
        <v>287</v>
      </c>
      <c r="C154" s="6"/>
      <c r="D154">
        <f>1500*400</f>
        <v>600000</v>
      </c>
      <c r="E154">
        <f t="shared" si="8"/>
        <v>0</v>
      </c>
    </row>
    <row r="155" spans="1:5" x14ac:dyDescent="0.3">
      <c r="A155" t="s">
        <v>246</v>
      </c>
      <c r="B155" s="1" t="s">
        <v>288</v>
      </c>
      <c r="C155" s="6"/>
      <c r="D155">
        <f>1500*500</f>
        <v>750000</v>
      </c>
      <c r="E155">
        <f t="shared" si="8"/>
        <v>0</v>
      </c>
    </row>
    <row r="156" spans="1:5" x14ac:dyDescent="0.3">
      <c r="A156" t="s">
        <v>246</v>
      </c>
      <c r="B156" s="1" t="s">
        <v>289</v>
      </c>
      <c r="C156" s="6"/>
      <c r="D156">
        <f>1500*600</f>
        <v>900000</v>
      </c>
      <c r="E156">
        <f t="shared" si="8"/>
        <v>0</v>
      </c>
    </row>
    <row r="157" spans="1:5" x14ac:dyDescent="0.3">
      <c r="A157" t="s">
        <v>246</v>
      </c>
      <c r="B157" s="1" t="s">
        <v>290</v>
      </c>
      <c r="C157" s="6"/>
      <c r="D157">
        <f>1500*800</f>
        <v>1200000</v>
      </c>
      <c r="E157">
        <f t="shared" si="8"/>
        <v>0</v>
      </c>
    </row>
    <row r="158" spans="1:5" x14ac:dyDescent="0.3">
      <c r="A158" t="s">
        <v>246</v>
      </c>
      <c r="B158" s="1" t="s">
        <v>291</v>
      </c>
      <c r="C158" s="6"/>
      <c r="D158">
        <f>1500*1000</f>
        <v>1500000</v>
      </c>
      <c r="E158">
        <f t="shared" si="8"/>
        <v>0</v>
      </c>
    </row>
    <row r="159" spans="1:5" x14ac:dyDescent="0.3">
      <c r="A159" t="s">
        <v>246</v>
      </c>
      <c r="B159" s="1" t="s">
        <v>292</v>
      </c>
      <c r="C159" s="6"/>
      <c r="D159">
        <f>1500*1200</f>
        <v>1800000</v>
      </c>
      <c r="E159">
        <f t="shared" si="8"/>
        <v>0</v>
      </c>
    </row>
    <row r="160" spans="1:5" x14ac:dyDescent="0.3">
      <c r="A160" t="s">
        <v>246</v>
      </c>
      <c r="B160" s="1" t="s">
        <v>293</v>
      </c>
      <c r="C160" s="6"/>
      <c r="D160">
        <f>1500*1500</f>
        <v>2250000</v>
      </c>
      <c r="E160">
        <f t="shared" si="8"/>
        <v>0</v>
      </c>
    </row>
    <row r="161" spans="1:5" x14ac:dyDescent="0.3">
      <c r="B161" s="1"/>
      <c r="C161" s="6"/>
    </row>
    <row r="162" spans="1:5" x14ac:dyDescent="0.3">
      <c r="A162" t="s">
        <v>246</v>
      </c>
      <c r="B162" s="1" t="s">
        <v>294</v>
      </c>
      <c r="C162" s="6"/>
      <c r="D162">
        <f>1800*400</f>
        <v>720000</v>
      </c>
      <c r="E162">
        <f t="shared" si="8"/>
        <v>0</v>
      </c>
    </row>
    <row r="163" spans="1:5" x14ac:dyDescent="0.3">
      <c r="A163" t="s">
        <v>246</v>
      </c>
      <c r="B163" s="1" t="s">
        <v>295</v>
      </c>
      <c r="C163" s="6"/>
      <c r="D163">
        <f>1800*500</f>
        <v>900000</v>
      </c>
      <c r="E163">
        <f t="shared" si="8"/>
        <v>0</v>
      </c>
    </row>
    <row r="164" spans="1:5" x14ac:dyDescent="0.3">
      <c r="A164" t="s">
        <v>246</v>
      </c>
      <c r="B164" s="1" t="s">
        <v>296</v>
      </c>
      <c r="C164" s="6"/>
      <c r="D164">
        <f>1800*600</f>
        <v>1080000</v>
      </c>
      <c r="E164">
        <f t="shared" si="8"/>
        <v>0</v>
      </c>
    </row>
    <row r="165" spans="1:5" x14ac:dyDescent="0.3">
      <c r="A165" t="s">
        <v>246</v>
      </c>
      <c r="B165" s="1" t="s">
        <v>297</v>
      </c>
      <c r="C165" s="6"/>
      <c r="D165">
        <f>1800*800</f>
        <v>1440000</v>
      </c>
      <c r="E165">
        <f t="shared" si="8"/>
        <v>0</v>
      </c>
    </row>
    <row r="166" spans="1:5" x14ac:dyDescent="0.3">
      <c r="A166" t="s">
        <v>246</v>
      </c>
      <c r="B166" s="1" t="s">
        <v>298</v>
      </c>
      <c r="C166" s="6"/>
      <c r="D166">
        <f>1800*1000</f>
        <v>1800000</v>
      </c>
      <c r="E166">
        <f t="shared" si="8"/>
        <v>0</v>
      </c>
    </row>
    <row r="167" spans="1:5" x14ac:dyDescent="0.3">
      <c r="A167" t="s">
        <v>246</v>
      </c>
      <c r="B167" s="1" t="s">
        <v>299</v>
      </c>
      <c r="C167" s="6"/>
      <c r="D167">
        <f>1800*1200</f>
        <v>2160000</v>
      </c>
      <c r="E167">
        <f t="shared" si="8"/>
        <v>0</v>
      </c>
    </row>
    <row r="168" spans="1:5" x14ac:dyDescent="0.3">
      <c r="A168" t="s">
        <v>246</v>
      </c>
      <c r="B168" s="1" t="s">
        <v>300</v>
      </c>
      <c r="C168" s="6"/>
      <c r="D168">
        <f>1800*1500</f>
        <v>2700000</v>
      </c>
      <c r="E168">
        <f t="shared" si="8"/>
        <v>0</v>
      </c>
    </row>
    <row r="169" spans="1:5" x14ac:dyDescent="0.3">
      <c r="B169" s="1"/>
      <c r="C169" s="6"/>
    </row>
    <row r="170" spans="1:5" x14ac:dyDescent="0.3">
      <c r="A170" t="s">
        <v>246</v>
      </c>
      <c r="B170" s="1" t="s">
        <v>301</v>
      </c>
      <c r="C170" s="6"/>
      <c r="D170">
        <f>2000*500</f>
        <v>1000000</v>
      </c>
      <c r="E170">
        <f t="shared" ref="E170:E175" si="9">C170/D170</f>
        <v>0</v>
      </c>
    </row>
    <row r="171" spans="1:5" x14ac:dyDescent="0.3">
      <c r="A171" t="s">
        <v>246</v>
      </c>
      <c r="B171" s="1" t="s">
        <v>302</v>
      </c>
      <c r="C171" s="6"/>
      <c r="D171">
        <f>2000*600</f>
        <v>1200000</v>
      </c>
      <c r="E171">
        <f t="shared" si="9"/>
        <v>0</v>
      </c>
    </row>
    <row r="172" spans="1:5" x14ac:dyDescent="0.3">
      <c r="A172" t="s">
        <v>246</v>
      </c>
      <c r="B172" s="1" t="s">
        <v>303</v>
      </c>
      <c r="C172" s="6"/>
      <c r="D172">
        <f>2000*800</f>
        <v>1600000</v>
      </c>
      <c r="E172">
        <f t="shared" si="9"/>
        <v>0</v>
      </c>
    </row>
    <row r="173" spans="1:5" x14ac:dyDescent="0.3">
      <c r="A173" t="s">
        <v>246</v>
      </c>
      <c r="B173" s="1" t="s">
        <v>304</v>
      </c>
      <c r="C173" s="6"/>
      <c r="D173">
        <f>2000*1000</f>
        <v>2000000</v>
      </c>
      <c r="E173">
        <f t="shared" si="9"/>
        <v>0</v>
      </c>
    </row>
    <row r="174" spans="1:5" x14ac:dyDescent="0.3">
      <c r="A174" t="s">
        <v>246</v>
      </c>
      <c r="B174" s="1" t="s">
        <v>305</v>
      </c>
      <c r="C174" s="6"/>
      <c r="D174">
        <f>2000*1200</f>
        <v>2400000</v>
      </c>
      <c r="E174">
        <f t="shared" si="9"/>
        <v>0</v>
      </c>
    </row>
    <row r="175" spans="1:5" x14ac:dyDescent="0.3">
      <c r="A175" t="s">
        <v>246</v>
      </c>
      <c r="B175" s="1" t="s">
        <v>306</v>
      </c>
      <c r="C175" s="6"/>
      <c r="D175">
        <f>2000*1500</f>
        <v>3000000</v>
      </c>
      <c r="E175">
        <f t="shared" si="9"/>
        <v>0</v>
      </c>
    </row>
  </sheetData>
  <sortState xmlns:xlrd2="http://schemas.microsoft.com/office/spreadsheetml/2017/richdata2" ref="A1:D49">
    <sortCondition ref="D1:D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2605-7814-4F0A-9976-09006060AF72}">
  <dimension ref="A1:C7"/>
  <sheetViews>
    <sheetView workbookViewId="0">
      <selection sqref="A1:C7"/>
    </sheetView>
  </sheetViews>
  <sheetFormatPr defaultRowHeight="14.4" x14ac:dyDescent="0.3"/>
  <cols>
    <col min="1" max="1" width="21.109375" bestFit="1" customWidth="1"/>
    <col min="2" max="2" width="21.6640625" customWidth="1"/>
    <col min="3" max="3" width="34.44140625" customWidth="1"/>
  </cols>
  <sheetData>
    <row r="1" spans="1:3" x14ac:dyDescent="0.3">
      <c r="A1" t="s">
        <v>533</v>
      </c>
      <c r="B1" t="s">
        <v>534</v>
      </c>
      <c r="C1" t="s">
        <v>535</v>
      </c>
    </row>
    <row r="2" spans="1:3" x14ac:dyDescent="0.3">
      <c r="A2" t="s">
        <v>536</v>
      </c>
      <c r="B2" s="34" t="s">
        <v>537</v>
      </c>
      <c r="C2" s="33" t="s">
        <v>538</v>
      </c>
    </row>
    <row r="3" spans="1:3" x14ac:dyDescent="0.3">
      <c r="A3" t="s">
        <v>539</v>
      </c>
      <c r="B3" s="35" t="s">
        <v>540</v>
      </c>
      <c r="C3" s="33" t="s">
        <v>541</v>
      </c>
    </row>
    <row r="4" spans="1:3" x14ac:dyDescent="0.3">
      <c r="A4" t="s">
        <v>542</v>
      </c>
      <c r="B4" s="33" t="s">
        <v>543</v>
      </c>
      <c r="C4" s="33" t="s">
        <v>544</v>
      </c>
    </row>
    <row r="5" spans="1:3" x14ac:dyDescent="0.3">
      <c r="A5" t="s">
        <v>545</v>
      </c>
      <c r="B5" s="36" t="s">
        <v>546</v>
      </c>
      <c r="C5" s="33" t="s">
        <v>547</v>
      </c>
    </row>
    <row r="6" spans="1:3" x14ac:dyDescent="0.3">
      <c r="A6" t="s">
        <v>548</v>
      </c>
      <c r="B6" s="33" t="s">
        <v>549</v>
      </c>
      <c r="C6" s="33" t="s">
        <v>550</v>
      </c>
    </row>
    <row r="7" spans="1:3" x14ac:dyDescent="0.3">
      <c r="A7" t="s">
        <v>551</v>
      </c>
      <c r="B7" s="36" t="s">
        <v>552</v>
      </c>
      <c r="C7" s="33" t="s">
        <v>553</v>
      </c>
    </row>
  </sheetData>
  <hyperlinks>
    <hyperlink ref="B2" r:id="rId1" xr:uid="{E4B21689-172C-4B5E-A3D1-ECB36637A648}"/>
    <hyperlink ref="B3" r:id="rId2" xr:uid="{B7654F76-31CC-4F0A-BBA3-9110AE5E0AB3}"/>
    <hyperlink ref="C3" r:id="rId3" xr:uid="{CBDDC672-C4B0-472C-BF74-4903D5DF2F57}"/>
    <hyperlink ref="C2" r:id="rId4" xr:uid="{442693E7-DB78-45CE-914A-6E623244B414}"/>
    <hyperlink ref="B4" r:id="rId5" xr:uid="{83E6C5EB-418A-4806-B335-EDE75A2726B9}"/>
    <hyperlink ref="C4" r:id="rId6" xr:uid="{5320117C-6D03-4F3E-A134-961811140794}"/>
    <hyperlink ref="C5" r:id="rId7" xr:uid="{A8F35CF8-35C6-47B5-8121-F74D8323E34B}"/>
    <hyperlink ref="C6" r:id="rId8" xr:uid="{16599392-CB18-4F89-A0D2-724D18ECA9FC}"/>
    <hyperlink ref="B6" r:id="rId9" display="3298419-3868" xr:uid="{7816D8DD-3509-4FC6-8AD9-1619491B2EE4}"/>
    <hyperlink ref="C7" r:id="rId10" xr:uid="{F21D47D7-0E24-467D-804D-F39A984562A6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AUX5-CUSTOS</vt:lpstr>
      <vt:lpstr>INTERPOLAÇÃO</vt:lpstr>
      <vt:lpstr>TRANSPORTADORAS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ESI Energia</dc:creator>
  <cp:keywords/>
  <dc:description/>
  <cp:lastModifiedBy>Matheus ESI Energia</cp:lastModifiedBy>
  <cp:revision/>
  <dcterms:created xsi:type="dcterms:W3CDTF">2024-02-28T20:18:32Z</dcterms:created>
  <dcterms:modified xsi:type="dcterms:W3CDTF">2025-11-24T22:39:53Z</dcterms:modified>
  <cp:category/>
  <cp:contentStatus/>
</cp:coreProperties>
</file>